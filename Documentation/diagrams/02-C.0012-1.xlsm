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image/png" Extension="png"/>
  <Default ContentType="application/vnd.openxmlformats-package.relationships+xml" Extension="rels"/>
  <Override ContentType="application/vnd.openxmlformats-officedocument.custom-properties+xml" PartName="/docProps/custom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custom-properties" Target="docProps/custom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PADRON COMPLETO" sheetId="1" r:id="rId5"/>
    <sheet state="visible" name="F2" sheetId="2" r:id="rId6"/>
  </sheets>
  <definedNames>
    <definedName hidden="1" localSheetId="0" name="_xlnm._FilterDatabase">'PADRON COMPLETO'!$A$9:$R$32</definedName>
  </definedNames>
  <calcPr/>
  <extLst>
    <ext uri="GoogleSheetsCustomDataVersion1">
      <go:sheetsCustomData xmlns:go="http://customooxmlschemas.google.com/" r:id="rId7" roundtripDataSignature="AMtx7mgmJVNBJrpl0oPuDLXkg5HJwq1OVw=="/>
    </ext>
  </extLst>
</workbook>
</file>

<file path=xl/sharedStrings.xml><?xml version="1.0" encoding="utf-8"?>
<sst xmlns="http://schemas.openxmlformats.org/spreadsheetml/2006/main" count="419" uniqueCount="201">
  <si>
    <t>Sala Cuna:</t>
  </si>
  <si>
    <t>Córdoba,</t>
  </si>
  <si>
    <t>MAÑANA</t>
  </si>
  <si>
    <t>SIN MODIFICAR</t>
  </si>
  <si>
    <t>TRAPITO</t>
  </si>
  <si>
    <t>MAÑANA EXT</t>
  </si>
  <si>
    <t>ALTA</t>
  </si>
  <si>
    <t>Mes:</t>
  </si>
  <si>
    <t>TARDE</t>
  </si>
  <si>
    <t>BAJA</t>
  </si>
  <si>
    <t>Año:</t>
  </si>
  <si>
    <t>PADRON DE NIÑOS Y NIÑAS</t>
  </si>
  <si>
    <t xml:space="preserve">CANTIDAD DE NIÑOS/AS </t>
  </si>
  <si>
    <t>TARDE EXT</t>
  </si>
  <si>
    <t>FALTA SA</t>
  </si>
  <si>
    <t>Provincia de Cordoba</t>
  </si>
  <si>
    <t>RED DE SALAS CUNA - PROVINCIA DE CORDOBA</t>
  </si>
  <si>
    <t xml:space="preserve">SIN MODIFICAR </t>
  </si>
  <si>
    <t>NOCHE</t>
  </si>
  <si>
    <t>DNI NIÑO/A</t>
  </si>
  <si>
    <t>Localidad de Cordoba</t>
  </si>
  <si>
    <t>ALTAS</t>
  </si>
  <si>
    <t>MAÑANA/ TARDE</t>
  </si>
  <si>
    <t>DNI TUTOR</t>
  </si>
  <si>
    <t>ASOCIACIÓN CIVIL CONSTRUYENDO UN MAÑANA</t>
  </si>
  <si>
    <t xml:space="preserve">BAJAS </t>
  </si>
  <si>
    <t xml:space="preserve">TARDE/NOCHE </t>
  </si>
  <si>
    <t>N°</t>
  </si>
  <si>
    <t>SALA CUNA</t>
  </si>
  <si>
    <t>APELLIDO</t>
  </si>
  <si>
    <t>NOMBRE</t>
  </si>
  <si>
    <t>N° DNI</t>
  </si>
  <si>
    <t>FECHA DE NACIMIENTO</t>
  </si>
  <si>
    <t>EDAD</t>
  </si>
  <si>
    <t>SEXO</t>
  </si>
  <si>
    <t>CALLE</t>
  </si>
  <si>
    <t>NUMERO</t>
  </si>
  <si>
    <t>BARRIO</t>
  </si>
  <si>
    <t>LOCALIDAD</t>
  </si>
  <si>
    <t>CARACTERISTICA TELEFONICA</t>
  </si>
  <si>
    <t>TELEFONO</t>
  </si>
  <si>
    <t xml:space="preserve"> APELLIDO Y NOMBRE MADRE</t>
  </si>
  <si>
    <t>DNI</t>
  </si>
  <si>
    <t>TURNO</t>
  </si>
  <si>
    <t xml:space="preserve">ESTADO </t>
  </si>
  <si>
    <t>C.0012</t>
  </si>
  <si>
    <t>AGÜERO</t>
  </si>
  <si>
    <t>GINNO TIZIANO</t>
  </si>
  <si>
    <t>F</t>
  </si>
  <si>
    <t>MZA B CASA 4</t>
  </si>
  <si>
    <t>S/N</t>
  </si>
  <si>
    <t>COOP EL PROGRESO</t>
  </si>
  <si>
    <t>CBA</t>
  </si>
  <si>
    <t>JULAR ORIANA PAOLA</t>
  </si>
  <si>
    <t>BANEGA TAPIA</t>
  </si>
  <si>
    <t>JOAN MAXIMILIANO</t>
  </si>
  <si>
    <t>M</t>
  </si>
  <si>
    <t>MZA C LOTE 14</t>
  </si>
  <si>
    <t>TAPIA MARÍA BELÉN</t>
  </si>
  <si>
    <t>CARLINI GUEVARA</t>
  </si>
  <si>
    <t>DILAN MATEO</t>
  </si>
  <si>
    <t>PEDRO ROVELLI</t>
  </si>
  <si>
    <t>COOP. EL PROGRESO</t>
  </si>
  <si>
    <t>GUEVARA JULIETA MICAELA</t>
  </si>
  <si>
    <t>CASTILLO</t>
  </si>
  <si>
    <t>AITANA FRANCHESCA</t>
  </si>
  <si>
    <t>MZA A LOTE 9</t>
  </si>
  <si>
    <t>FARIAS MARIA ROSA</t>
  </si>
  <si>
    <t>CHAVEZ</t>
  </si>
  <si>
    <t>CESIA MAITEN</t>
  </si>
  <si>
    <t>MZA 41 LOTE 1</t>
  </si>
  <si>
    <t>COOP EL PARAISO</t>
  </si>
  <si>
    <t>MOYANO GISEL</t>
  </si>
  <si>
    <t>CONTRERAS</t>
  </si>
  <si>
    <t>LISANDRO ISMAEL</t>
  </si>
  <si>
    <t>MZA 37</t>
  </si>
  <si>
    <t>CASA 4</t>
  </si>
  <si>
    <t>COOP. LOS ANDES</t>
  </si>
  <si>
    <t>CHARRAS LAURA</t>
  </si>
  <si>
    <t>CORZO</t>
  </si>
  <si>
    <t>ANTONELLA</t>
  </si>
  <si>
    <t>CALLE PÚBLICA C</t>
  </si>
  <si>
    <t>LILAS DE HORIZONTE</t>
  </si>
  <si>
    <t>152040730 / 152588486</t>
  </si>
  <si>
    <t>CARRIZO MARISEL SOLEDAD</t>
  </si>
  <si>
    <t>DIAZ</t>
  </si>
  <si>
    <t>THEO JONAS</t>
  </si>
  <si>
    <t>MZA F LOTE 12</t>
  </si>
  <si>
    <t>PINO JOHANA</t>
  </si>
  <si>
    <t>ECHENIQUE</t>
  </si>
  <si>
    <t>LUZ PAINÉ</t>
  </si>
  <si>
    <t>PEDRO DE ESCOBAR</t>
  </si>
  <si>
    <t>JOSÉ I.DIAZ  1° SECCION</t>
  </si>
  <si>
    <t>GIGENA LEILA AGUSTINA</t>
  </si>
  <si>
    <t>FARÍAS</t>
  </si>
  <si>
    <t>ALMA NAHIARA</t>
  </si>
  <si>
    <t>FARÍAS MARÍA ROSA</t>
  </si>
  <si>
    <t>FERREYRA MACIEL</t>
  </si>
  <si>
    <t>BAUTISTA JESÚS</t>
  </si>
  <si>
    <t>MZA E LOTE 4</t>
  </si>
  <si>
    <t>MACIEL MILAGROS MERIBET</t>
  </si>
  <si>
    <t>MIA CANDELARIA</t>
  </si>
  <si>
    <t>GALINDEZ</t>
  </si>
  <si>
    <t>MARTINA</t>
  </si>
  <si>
    <t>MZA  C CASA 18</t>
  </si>
  <si>
    <t>GALINDEZ LOURDES</t>
  </si>
  <si>
    <t>GROSSO</t>
  </si>
  <si>
    <t>CIELO NAHIARA</t>
  </si>
  <si>
    <t>CALLE 9 MZA77 CASA 8</t>
  </si>
  <si>
    <t>LAS LILAS</t>
  </si>
  <si>
    <t>GROSSO GUADALUPE</t>
  </si>
  <si>
    <t>LEIVA</t>
  </si>
  <si>
    <t>CALEB TOMAS</t>
  </si>
  <si>
    <t>MZA 62 CASA 23</t>
  </si>
  <si>
    <t>MOYANO ANA CAROLINA</t>
  </si>
  <si>
    <t>LUJAN</t>
  </si>
  <si>
    <t>IVAN LISANDRO</t>
  </si>
  <si>
    <t>MZA B CASA 33</t>
  </si>
  <si>
    <t>PALOMEQUE CARLA BELEN</t>
  </si>
  <si>
    <t>MONSERRAT</t>
  </si>
  <si>
    <t>LIAM BENJAMIN</t>
  </si>
  <si>
    <t>MZA A CASA 1</t>
  </si>
  <si>
    <t>MONSERRAT MICAELA</t>
  </si>
  <si>
    <t>PIZARRA ORTEGA</t>
  </si>
  <si>
    <t>ELIAN JOEL</t>
  </si>
  <si>
    <t>MZA C LOTE 20</t>
  </si>
  <si>
    <t>ORTEGA ANA CAROLINA</t>
  </si>
  <si>
    <t>PIZARRO ORTEGA</t>
  </si>
  <si>
    <t>JEREMIAS AARON</t>
  </si>
  <si>
    <t>JOSÉ IGNACIO DIAZ I</t>
  </si>
  <si>
    <t>RIOS</t>
  </si>
  <si>
    <t>ELISEO</t>
  </si>
  <si>
    <t>MZA H LOTE 18</t>
  </si>
  <si>
    <t>LUQUES MAYRA</t>
  </si>
  <si>
    <t>ROLDAN GAITAN</t>
  </si>
  <si>
    <t>MATEO JONAS</t>
  </si>
  <si>
    <t>MZA A LOTE 1</t>
  </si>
  <si>
    <t>GAITAN KATERINNE</t>
  </si>
  <si>
    <t>ROSAS</t>
  </si>
  <si>
    <t>JOHN  NEHEMIAS</t>
  </si>
  <si>
    <t>MZA H LOTE 1</t>
  </si>
  <si>
    <t>ROSAS LUNA</t>
  </si>
  <si>
    <t>JESHUA NATANIEL</t>
  </si>
  <si>
    <t>MZA I CASA 24</t>
  </si>
  <si>
    <t>ROSAS CECILIA</t>
  </si>
  <si>
    <t>NEITAN</t>
  </si>
  <si>
    <t>SPERA</t>
  </si>
  <si>
    <t>NOAH ALEXANDER</t>
  </si>
  <si>
    <t>FIGUEROA ELSA TAMARA</t>
  </si>
  <si>
    <t>VEGA</t>
  </si>
  <si>
    <t>FELIPE VALENTINO</t>
  </si>
  <si>
    <t>MZA F LOTE 9</t>
  </si>
  <si>
    <t>MELGAREJO YAMILA GISEL</t>
  </si>
  <si>
    <t>Quien suscribe, como representante legal de la institución de que se trata, manifiesta con carácter de DECLARACIÓN JURADA que la presente nómina corresponde a los niños y niñas que han asistido a la Sala Cuna durante el MES DE FEBRERO de 2023, solicitando la asignación económica que el programa de que se trata asigna a los mismos  en concepto de ayuda directa, firmando al pie para constancia y fe.-</t>
  </si>
  <si>
    <t>F2 - Formulario de Altas y Bajas de niños en Salas Cunas</t>
  </si>
  <si>
    <t>Cód. Sala:</t>
  </si>
  <si>
    <t>60</t>
  </si>
  <si>
    <t>Nombre Sala:</t>
  </si>
  <si>
    <t>Mes</t>
  </si>
  <si>
    <t>Profesional:</t>
  </si>
  <si>
    <t>ELISA GRISEL CORREA</t>
  </si>
  <si>
    <t>Nombre Entidad:</t>
  </si>
  <si>
    <t>COOP. EL PROGRESO DE VIVIENDA Y CONSUMO LTDA</t>
  </si>
  <si>
    <t>Fecha</t>
  </si>
  <si>
    <t>Altas / Reingreso</t>
  </si>
  <si>
    <t>Trabajadora Social</t>
  </si>
  <si>
    <t>Área Datos 
Padrón</t>
  </si>
  <si>
    <t>Área Datos  - Carga de datos</t>
  </si>
  <si>
    <t>n°</t>
  </si>
  <si>
    <t>A/R</t>
  </si>
  <si>
    <t>Apellido</t>
  </si>
  <si>
    <t>Nombre</t>
  </si>
  <si>
    <t>Adjunta SA</t>
  </si>
  <si>
    <t>Control</t>
  </si>
  <si>
    <t>Obs</t>
  </si>
  <si>
    <t>Niño</t>
  </si>
  <si>
    <t>GF</t>
  </si>
  <si>
    <t>Nº SA</t>
  </si>
  <si>
    <t>Obs2</t>
  </si>
  <si>
    <t>Fecha3</t>
  </si>
  <si>
    <t>Si es reingreso, indicar el nº de SA</t>
  </si>
  <si>
    <t>Bajas</t>
  </si>
  <si>
    <t>Eq. Téc. 1º
Padrón</t>
  </si>
  <si>
    <r>
      <rPr>
        <rFont val="Calibri"/>
        <b/>
        <color theme="1"/>
        <sz val="10.0"/>
      </rPr>
      <t xml:space="preserve">Eq. Téc. 2º </t>
    </r>
    <r>
      <rPr>
        <rFont val="Calibri"/>
        <b/>
        <color theme="1"/>
        <sz val="9.0"/>
      </rPr>
      <t>Carga de datos</t>
    </r>
  </si>
  <si>
    <t>Control Previo de la Trabajadora Social</t>
  </si>
  <si>
    <t>.</t>
  </si>
  <si>
    <t xml:space="preserve">MOTIVO </t>
  </si>
  <si>
    <t>Cargado</t>
  </si>
  <si>
    <t>Cantidad niños mes anterior:</t>
  </si>
  <si>
    <t xml:space="preserve"> + Altas:</t>
  </si>
  <si>
    <t xml:space="preserve"> - Bajas:</t>
  </si>
  <si>
    <t>Cantidad actual niños:</t>
  </si>
  <si>
    <t>Coincide con el padrón presentado:</t>
  </si>
  <si>
    <t>Compartió el archivo:</t>
  </si>
  <si>
    <t>SI</t>
  </si>
  <si>
    <t>Firma Trabajadora Social:</t>
  </si>
  <si>
    <t>Aclaración:</t>
  </si>
  <si>
    <t>Recepción Área Datos  - Padrón</t>
  </si>
  <si>
    <t>Recepción  Área Datos - Carga de Datos</t>
  </si>
  <si>
    <t>Fecha:</t>
  </si>
  <si>
    <t>Firma: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</si>
</sst>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7">
    <numFmt numFmtId="164" formatCode="[$-2C0A]dd/mm/yyyy"/>
    <numFmt numFmtId="165" formatCode="[$-2C0A]d&quot; de &quot;mmmm&quot; de &quot;yyyy"/>
    <numFmt numFmtId="166" formatCode="D/M/YYYY"/>
    <numFmt numFmtId="167" formatCode="mmmm"/>
    <numFmt numFmtId="168" formatCode="d\-m\-yy"/>
    <numFmt numFmtId="169" formatCode="dd/mm/yyyy"/>
    <numFmt numFmtId="170" formatCode="mmmm\-yy"/>
  </numFmts>
  <fonts count="18">
    <font>
      <sz val="11.0"/>
      <color rgb="FF000000"/>
      <name val="Calibri"/>
      <scheme val="minor"/>
    </font>
    <font>
      <sz val="9.0"/>
      <color rgb="FF000000"/>
      <name val="Calibri"/>
    </font>
    <font>
      <sz val="11.0"/>
      <color rgb="FF000000"/>
      <name val="Calibri"/>
    </font>
    <font>
      <sz val="9.0"/>
      <color theme="0"/>
      <name val="Calibri"/>
    </font>
    <font>
      <sz val="9.0"/>
      <color theme="1"/>
      <name val="Calibri"/>
    </font>
    <font>
      <sz val="11.0"/>
      <color theme="0"/>
      <name val="Calibri"/>
    </font>
    <font>
      <color theme="1"/>
      <name val="Calibri"/>
      <scheme val="minor"/>
    </font>
    <font>
      <sz val="11.0"/>
      <color theme="1"/>
      <name val="Calibri"/>
    </font>
    <font>
      <b/>
      <sz val="10.0"/>
      <color theme="1"/>
      <name val="Calibri"/>
    </font>
    <font>
      <sz val="9.0"/>
      <color rgb="FF000000"/>
      <name val="Arial"/>
    </font>
    <font>
      <sz val="8.0"/>
      <color rgb="FF000000"/>
      <name val="Calibri"/>
    </font>
    <font>
      <sz val="10.0"/>
      <color rgb="FF000000"/>
      <name val="Calibri"/>
    </font>
    <font>
      <b/>
      <sz val="16.0"/>
      <color theme="1"/>
      <name val="Calibri"/>
    </font>
    <font/>
    <font>
      <b/>
      <sz val="11.0"/>
      <color theme="1"/>
      <name val="Calibri"/>
    </font>
    <font>
      <b/>
      <sz val="14.0"/>
      <color theme="1"/>
      <name val="Calibri"/>
    </font>
    <font>
      <sz val="8.0"/>
      <color theme="1"/>
      <name val="Calibri"/>
    </font>
    <font>
      <b/>
      <i/>
      <sz val="11.0"/>
      <color theme="1"/>
      <name val="Calibri"/>
    </font>
  </fonts>
  <fills count="7">
    <fill>
      <patternFill patternType="none"/>
    </fill>
    <fill>
      <patternFill patternType="lightGray"/>
    </fill>
    <fill>
      <patternFill patternType="solid">
        <fgColor rgb="FFD9D9D9"/>
        <bgColor rgb="FFD9D9D9"/>
      </patternFill>
    </fill>
    <fill>
      <patternFill patternType="solid">
        <fgColor rgb="FFE1F5FF"/>
        <bgColor rgb="FFE1F5FF"/>
      </patternFill>
    </fill>
    <fill>
      <patternFill patternType="solid">
        <fgColor rgb="FFFBD4B4"/>
        <bgColor rgb="FFFBD4B4"/>
      </patternFill>
    </fill>
    <fill>
      <patternFill patternType="solid">
        <fgColor rgb="FFDAEEF3"/>
        <bgColor rgb="FFDAEEF3"/>
      </patternFill>
    </fill>
    <fill>
      <patternFill patternType="solid">
        <fgColor rgb="FFFDE9D9"/>
        <bgColor rgb="FFFDE9D9"/>
      </patternFill>
    </fill>
  </fills>
  <borders count="32">
    <border/>
    <border>
      <left/>
      <right style="thin">
        <color rgb="FF000000"/>
      </right>
      <top/>
      <bottom style="thin">
        <color rgb="FF000000"/>
      </bottom>
    </border>
    <border>
      <left style="thin">
        <color rgb="FF000000"/>
      </left>
      <right style="thin">
        <color rgb="FF000000"/>
      </right>
      <top/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/>
      <top/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/>
    </border>
    <border>
      <left style="medium">
        <color rgb="FF000000"/>
      </left>
      <top style="medium">
        <color rgb="FF000000"/>
      </top>
      <bottom style="medium">
        <color rgb="FF000000"/>
      </bottom>
    </border>
    <border>
      <top style="medium">
        <color rgb="FF000000"/>
      </top>
      <bottom style="medium">
        <color rgb="FF000000"/>
      </bottom>
    </border>
    <border>
      <right style="medium">
        <color rgb="FF000000"/>
      </right>
      <top style="medium">
        <color rgb="FF000000"/>
      </top>
      <bottom style="medium">
        <color rgb="FF000000"/>
      </bottom>
    </border>
    <border>
      <left style="thin">
        <color rgb="FF000000"/>
      </left>
      <top style="thin">
        <color rgb="FF000000"/>
      </top>
      <bottom/>
    </border>
    <border>
      <top style="thin">
        <color rgb="FF000000"/>
      </top>
      <bottom/>
    </border>
    <border>
      <right style="thin">
        <color rgb="FF000000"/>
      </right>
      <top style="thin">
        <color rgb="FF000000"/>
      </top>
      <bottom/>
    </border>
    <border>
      <left style="medium">
        <color rgb="FF000000"/>
      </left>
      <top style="medium">
        <color rgb="FF000000"/>
      </top>
      <bottom/>
    </border>
    <border>
      <top style="medium">
        <color rgb="FF000000"/>
      </top>
      <bottom/>
    </border>
    <border>
      <right style="medium">
        <color rgb="FF000000"/>
      </right>
      <top style="medium">
        <color rgb="FF000000"/>
      </top>
      <bottom/>
    </border>
    <border>
      <left style="medium">
        <color rgb="FF000000"/>
      </left>
    </border>
    <border>
      <right style="medium">
        <color rgb="FF000000"/>
      </right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medium">
        <color rgb="FF000000"/>
      </bottom>
    </border>
    <border>
      <top style="thin">
        <color rgb="FF000000"/>
      </top>
      <bottom style="medium">
        <color rgb="FF000000"/>
      </bottom>
    </border>
    <border>
      <right style="thin">
        <color rgb="FF000000"/>
      </right>
      <top style="thin">
        <color rgb="FF000000"/>
      </top>
      <bottom style="medium">
        <color rgb="FF000000"/>
      </bottom>
    </border>
    <border>
      <left style="medium">
        <color rgb="FF000000"/>
      </left>
      <top style="medium">
        <color rgb="FF000000"/>
      </top>
      <bottom style="thin">
        <color rgb="FF000000"/>
      </bottom>
    </border>
    <border>
      <top style="medium">
        <color rgb="FF000000"/>
      </top>
      <bottom style="thin">
        <color rgb="FF000000"/>
      </bottom>
    </border>
    <border>
      <right style="medium">
        <color rgb="FF000000"/>
      </right>
      <top style="medium">
        <color rgb="FF000000"/>
      </top>
      <bottom style="thin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</border>
    <border>
      <top style="medium">
        <color rgb="FF000000"/>
      </top>
    </border>
    <border>
      <left style="medium">
        <color rgb="FF000000"/>
      </left>
      <right style="medium">
        <color rgb="FF000000"/>
      </right>
    </border>
    <border>
      <bottom style="medium">
        <color rgb="FF000000"/>
      </bottom>
    </border>
    <border>
      <left style="thin">
        <color rgb="FF000000"/>
      </left>
      <bottom style="medium">
        <color rgb="FF000000"/>
      </bottom>
    </border>
    <border>
      <bottom style="hair">
        <color rgb="FF000000"/>
      </bottom>
    </border>
    <border>
      <right style="thin">
        <color rgb="FF000000"/>
      </right>
      <bottom style="hair">
        <color rgb="FF000000"/>
      </bottom>
    </border>
  </borders>
  <cellStyleXfs count="1">
    <xf borderId="0" fillId="0" fontId="0" numFmtId="0" applyAlignment="1" applyFont="1"/>
  </cellStyleXfs>
  <cellXfs count="93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0" fontId="2" numFmtId="0" xfId="0" applyFont="1"/>
    <xf borderId="0" fillId="0" fontId="1" numFmtId="0" xfId="0" applyAlignment="1" applyFont="1">
      <alignment horizontal="center"/>
    </xf>
    <xf borderId="0" fillId="0" fontId="3" numFmtId="164" xfId="0" applyAlignment="1" applyFont="1" applyNumberFormat="1">
      <alignment horizontal="right"/>
    </xf>
    <xf borderId="0" fillId="0" fontId="1" numFmtId="0" xfId="0" applyAlignment="1" applyFont="1">
      <alignment horizontal="right"/>
    </xf>
    <xf borderId="0" fillId="0" fontId="3" numFmtId="0" xfId="0" applyAlignment="1" applyFont="1">
      <alignment horizontal="right"/>
    </xf>
    <xf borderId="0" fillId="0" fontId="4" numFmtId="165" xfId="0" applyAlignment="1" applyFont="1" applyNumberFormat="1">
      <alignment horizontal="center" vertical="center"/>
    </xf>
    <xf borderId="0" fillId="0" fontId="5" numFmtId="0" xfId="0" applyFont="1"/>
    <xf borderId="0" fillId="0" fontId="6" numFmtId="0" xfId="0" applyFont="1"/>
    <xf borderId="0" fillId="0" fontId="2" numFmtId="0" xfId="0" applyAlignment="1" applyFont="1">
      <alignment horizontal="center" shrinkToFit="0" wrapText="1"/>
    </xf>
    <xf borderId="0" fillId="0" fontId="1" numFmtId="166" xfId="0" applyFont="1" applyNumberFormat="1"/>
    <xf borderId="0" fillId="0" fontId="1" numFmtId="1" xfId="0" applyAlignment="1" applyFont="1" applyNumberFormat="1">
      <alignment horizontal="center"/>
    </xf>
    <xf borderId="0" fillId="0" fontId="3" numFmtId="0" xfId="0" applyFont="1"/>
    <xf borderId="0" fillId="0" fontId="4" numFmtId="0" xfId="0" applyAlignment="1" applyFont="1">
      <alignment horizontal="center" vertical="center"/>
    </xf>
    <xf borderId="0" fillId="0" fontId="1" numFmtId="167" xfId="0" applyFont="1" applyNumberFormat="1"/>
    <xf borderId="0" fillId="0" fontId="7" numFmtId="0" xfId="0" applyFont="1"/>
    <xf borderId="0" fillId="0" fontId="8" numFmtId="0" xfId="0" applyAlignment="1" applyFont="1">
      <alignment horizontal="left"/>
    </xf>
    <xf borderId="0" fillId="0" fontId="8" numFmtId="0" xfId="0" applyFont="1"/>
    <xf borderId="0" fillId="0" fontId="4" numFmtId="0" xfId="0" applyFont="1"/>
    <xf borderId="0" fillId="0" fontId="2" numFmtId="166" xfId="0" applyFont="1" applyNumberFormat="1"/>
    <xf borderId="0" fillId="0" fontId="2" numFmtId="1" xfId="0" applyFont="1" applyNumberFormat="1"/>
    <xf borderId="0" fillId="0" fontId="1" numFmtId="0" xfId="0" applyAlignment="1" applyFont="1">
      <alignment readingOrder="0"/>
    </xf>
    <xf borderId="0" fillId="0" fontId="9" numFmtId="168" xfId="0" applyAlignment="1" applyFont="1" applyNumberFormat="1">
      <alignment shrinkToFit="0" vertical="center" wrapText="1"/>
    </xf>
    <xf borderId="0" fillId="0" fontId="10" numFmtId="0" xfId="0" applyAlignment="1" applyFont="1">
      <alignment horizontal="center" shrinkToFit="0" vertical="center" wrapText="1"/>
    </xf>
    <xf borderId="0" fillId="0" fontId="4" numFmtId="0" xfId="0" applyAlignment="1" applyFont="1">
      <alignment horizontal="center"/>
    </xf>
    <xf borderId="1" fillId="2" fontId="1" numFmtId="0" xfId="0" applyAlignment="1" applyBorder="1" applyFill="1" applyFont="1">
      <alignment horizontal="center" shrinkToFit="0" vertical="center" wrapText="1"/>
    </xf>
    <xf borderId="2" fillId="2" fontId="1" numFmtId="0" xfId="0" applyAlignment="1" applyBorder="1" applyFont="1">
      <alignment horizontal="center" shrinkToFit="0" vertical="center" wrapText="1"/>
    </xf>
    <xf borderId="2" fillId="2" fontId="1" numFmtId="166" xfId="0" applyAlignment="1" applyBorder="1" applyFont="1" applyNumberFormat="1">
      <alignment horizontal="center" shrinkToFit="0" vertical="center" wrapText="1"/>
    </xf>
    <xf borderId="2" fillId="2" fontId="1" numFmtId="1" xfId="0" applyAlignment="1" applyBorder="1" applyFont="1" applyNumberFormat="1">
      <alignment horizontal="center" shrinkToFit="0" textRotation="90" vertical="center" wrapText="1"/>
    </xf>
    <xf borderId="2" fillId="2" fontId="1" numFmtId="0" xfId="0" applyAlignment="1" applyBorder="1" applyFont="1">
      <alignment horizontal="center" shrinkToFit="0" textRotation="90" vertical="center" wrapText="1"/>
    </xf>
    <xf borderId="2" fillId="2" fontId="10" numFmtId="0" xfId="0" applyAlignment="1" applyBorder="1" applyFont="1">
      <alignment horizontal="center" shrinkToFit="0" textRotation="90" vertical="center" wrapText="1"/>
    </xf>
    <xf borderId="3" fillId="2" fontId="10" numFmtId="0" xfId="0" applyAlignment="1" applyBorder="1" applyFont="1">
      <alignment horizontal="center" shrinkToFit="0" textRotation="90" vertical="center" wrapText="1"/>
    </xf>
    <xf borderId="4" fillId="2" fontId="1" numFmtId="0" xfId="0" applyAlignment="1" applyBorder="1" applyFont="1">
      <alignment horizontal="center" shrinkToFit="0" vertical="center" wrapText="1"/>
    </xf>
    <xf borderId="5" fillId="0" fontId="10" numFmtId="0" xfId="0" applyAlignment="1" applyBorder="1" applyFont="1">
      <alignment horizontal="center" shrinkToFit="0" vertical="center" wrapText="1"/>
    </xf>
    <xf borderId="6" fillId="3" fontId="10" numFmtId="0" xfId="0" applyAlignment="1" applyBorder="1" applyFill="1" applyFont="1">
      <alignment horizontal="center" shrinkToFit="0" vertical="center" wrapText="1"/>
    </xf>
    <xf borderId="6" fillId="3" fontId="10" numFmtId="166" xfId="0" applyAlignment="1" applyBorder="1" applyFont="1" applyNumberFormat="1">
      <alignment horizontal="center" shrinkToFit="0" vertical="center" wrapText="1"/>
    </xf>
    <xf borderId="3" fillId="3" fontId="10" numFmtId="0" xfId="0" applyAlignment="1" applyBorder="1" applyFont="1">
      <alignment horizontal="center" shrinkToFit="0" vertical="center" wrapText="1"/>
    </xf>
    <xf borderId="3" fillId="0" fontId="10" numFmtId="0" xfId="0" applyAlignment="1" applyBorder="1" applyFont="1">
      <alignment horizontal="center" shrinkToFit="0" vertical="center" wrapText="1"/>
    </xf>
    <xf borderId="3" fillId="0" fontId="10" numFmtId="166" xfId="0" applyAlignment="1" applyBorder="1" applyFont="1" applyNumberFormat="1">
      <alignment horizontal="center" shrinkToFit="0" vertical="center" wrapText="1"/>
    </xf>
    <xf borderId="3" fillId="0" fontId="10" numFmtId="169" xfId="0" applyAlignment="1" applyBorder="1" applyFont="1" applyNumberFormat="1">
      <alignment horizontal="center" shrinkToFit="0" vertical="center" wrapText="1"/>
    </xf>
    <xf borderId="0" fillId="0" fontId="11" numFmtId="0" xfId="0" applyAlignment="1" applyFont="1">
      <alignment horizontal="center" shrinkToFit="0" vertical="center" wrapText="1"/>
    </xf>
    <xf borderId="7" fillId="4" fontId="12" numFmtId="0" xfId="0" applyAlignment="1" applyBorder="1" applyFill="1" applyFont="1">
      <alignment horizontal="center"/>
    </xf>
    <xf borderId="8" fillId="0" fontId="13" numFmtId="0" xfId="0" applyBorder="1" applyFont="1"/>
    <xf borderId="9" fillId="0" fontId="13" numFmtId="0" xfId="0" applyBorder="1" applyFont="1"/>
    <xf borderId="0" fillId="0" fontId="14" numFmtId="0" xfId="0" applyFont="1"/>
    <xf borderId="0" fillId="0" fontId="5" numFmtId="2" xfId="0" applyFont="1" applyNumberFormat="1"/>
    <xf borderId="0" fillId="0" fontId="7" numFmtId="170" xfId="0" applyAlignment="1" applyFont="1" applyNumberFormat="1">
      <alignment horizontal="left"/>
    </xf>
    <xf borderId="0" fillId="0" fontId="7" numFmtId="166" xfId="0" applyFont="1" applyNumberFormat="1"/>
    <xf borderId="10" fillId="5" fontId="15" numFmtId="0" xfId="0" applyAlignment="1" applyBorder="1" applyFill="1" applyFont="1">
      <alignment horizontal="center"/>
    </xf>
    <xf borderId="11" fillId="0" fontId="13" numFmtId="0" xfId="0" applyBorder="1" applyFont="1"/>
    <xf borderId="12" fillId="0" fontId="13" numFmtId="0" xfId="0" applyBorder="1" applyFont="1"/>
    <xf borderId="13" fillId="6" fontId="14" numFmtId="0" xfId="0" applyAlignment="1" applyBorder="1" applyFill="1" applyFont="1">
      <alignment horizontal="center" vertical="center"/>
    </xf>
    <xf borderId="14" fillId="0" fontId="13" numFmtId="0" xfId="0" applyBorder="1" applyFont="1"/>
    <xf borderId="15" fillId="0" fontId="13" numFmtId="0" xfId="0" applyBorder="1" applyFont="1"/>
    <xf borderId="13" fillId="6" fontId="14" numFmtId="0" xfId="0" applyAlignment="1" applyBorder="1" applyFont="1">
      <alignment horizontal="center" shrinkToFit="0" vertical="center" wrapText="1"/>
    </xf>
    <xf borderId="16" fillId="0" fontId="7" numFmtId="0" xfId="0" applyAlignment="1" applyBorder="1" applyFont="1">
      <alignment horizontal="center" vertical="center"/>
    </xf>
    <xf borderId="0" fillId="0" fontId="8" numFmtId="0" xfId="0" applyAlignment="1" applyFont="1">
      <alignment horizontal="center" textRotation="90" vertical="center"/>
    </xf>
    <xf borderId="0" fillId="0" fontId="14" numFmtId="0" xfId="0" applyAlignment="1" applyFont="1">
      <alignment horizontal="center" vertical="center"/>
    </xf>
    <xf borderId="17" fillId="0" fontId="8" numFmtId="0" xfId="0" applyAlignment="1" applyBorder="1" applyFont="1">
      <alignment horizontal="center" shrinkToFit="0" vertical="center" wrapText="1"/>
    </xf>
    <xf borderId="16" fillId="0" fontId="14" numFmtId="0" xfId="0" applyAlignment="1" applyBorder="1" applyFont="1">
      <alignment horizontal="center" vertical="center"/>
    </xf>
    <xf borderId="17" fillId="0" fontId="14" numFmtId="0" xfId="0" applyAlignment="1" applyBorder="1" applyFont="1">
      <alignment horizontal="center" vertical="center"/>
    </xf>
    <xf borderId="18" fillId="0" fontId="7" numFmtId="0" xfId="0" applyAlignment="1" applyBorder="1" applyFont="1">
      <alignment horizontal="center" vertical="center"/>
    </xf>
    <xf borderId="18" fillId="0" fontId="16" numFmtId="0" xfId="0" applyAlignment="1" applyBorder="1" applyFont="1">
      <alignment horizontal="center" shrinkToFit="0" vertical="center" wrapText="1"/>
    </xf>
    <xf borderId="18" fillId="0" fontId="10" numFmtId="0" xfId="0" applyAlignment="1" applyBorder="1" applyFont="1">
      <alignment horizontal="center" shrinkToFit="0" vertical="center" wrapText="1"/>
    </xf>
    <xf borderId="0" fillId="0" fontId="7" numFmtId="0" xfId="0" applyAlignment="1" applyFont="1">
      <alignment horizontal="center" vertical="center"/>
    </xf>
    <xf borderId="0" fillId="0" fontId="17" numFmtId="0" xfId="0" applyFont="1"/>
    <xf borderId="19" fillId="5" fontId="15" numFmtId="0" xfId="0" applyAlignment="1" applyBorder="1" applyFont="1">
      <alignment horizontal="center"/>
    </xf>
    <xf borderId="20" fillId="0" fontId="13" numFmtId="0" xfId="0" applyBorder="1" applyFont="1"/>
    <xf borderId="21" fillId="0" fontId="13" numFmtId="0" xfId="0" applyBorder="1" applyFont="1"/>
    <xf borderId="22" fillId="6" fontId="14" numFmtId="0" xfId="0" applyAlignment="1" applyBorder="1" applyFont="1">
      <alignment horizontal="center" shrinkToFit="0" vertical="center" wrapText="1"/>
    </xf>
    <xf borderId="23" fillId="0" fontId="13" numFmtId="0" xfId="0" applyBorder="1" applyFont="1"/>
    <xf borderId="24" fillId="0" fontId="13" numFmtId="0" xfId="0" applyBorder="1" applyFont="1"/>
    <xf borderId="25" fillId="6" fontId="8" numFmtId="0" xfId="0" applyAlignment="1" applyBorder="1" applyFont="1">
      <alignment horizontal="center" shrinkToFit="0" vertical="center" wrapText="1"/>
    </xf>
    <xf borderId="26" fillId="0" fontId="15" numFmtId="0" xfId="0" applyAlignment="1" applyBorder="1" applyFont="1">
      <alignment horizontal="center" vertical="center"/>
    </xf>
    <xf borderId="26" fillId="0" fontId="13" numFmtId="0" xfId="0" applyBorder="1" applyFont="1"/>
    <xf borderId="16" fillId="0" fontId="14" numFmtId="0" xfId="0" applyAlignment="1" applyBorder="1" applyFont="1">
      <alignment horizontal="center"/>
    </xf>
    <xf borderId="17" fillId="0" fontId="14" numFmtId="0" xfId="0" applyAlignment="1" applyBorder="1" applyFont="1">
      <alignment horizontal="center"/>
    </xf>
    <xf borderId="27" fillId="0" fontId="14" numFmtId="0" xfId="0" applyAlignment="1" applyBorder="1" applyFont="1">
      <alignment horizontal="center"/>
    </xf>
    <xf borderId="3" fillId="0" fontId="7" numFmtId="0" xfId="0" applyAlignment="1" applyBorder="1" applyFont="1">
      <alignment horizontal="center" vertical="center"/>
    </xf>
    <xf borderId="0" fillId="0" fontId="14" numFmtId="0" xfId="0" applyAlignment="1" applyFont="1">
      <alignment vertical="center"/>
    </xf>
    <xf borderId="0" fillId="0" fontId="7" numFmtId="0" xfId="0" applyAlignment="1" applyFont="1">
      <alignment horizontal="right" vertical="center"/>
    </xf>
    <xf borderId="0" fillId="0" fontId="7" numFmtId="49" xfId="0" applyAlignment="1" applyFont="1" applyNumberFormat="1">
      <alignment horizontal="right" vertical="center"/>
    </xf>
    <xf borderId="28" fillId="0" fontId="7" numFmtId="0" xfId="0" applyBorder="1" applyFont="1"/>
    <xf borderId="28" fillId="0" fontId="7" numFmtId="0" xfId="0" applyAlignment="1" applyBorder="1" applyFont="1">
      <alignment vertical="center"/>
    </xf>
    <xf borderId="28" fillId="0" fontId="7" numFmtId="0" xfId="0" applyAlignment="1" applyBorder="1" applyFont="1">
      <alignment horizontal="right" vertical="center"/>
    </xf>
    <xf borderId="3" fillId="0" fontId="14" numFmtId="0" xfId="0" applyAlignment="1" applyBorder="1" applyFont="1">
      <alignment horizontal="center" vertical="center"/>
    </xf>
    <xf borderId="29" fillId="0" fontId="14" numFmtId="0" xfId="0" applyBorder="1" applyFont="1"/>
    <xf borderId="0" fillId="0" fontId="7" numFmtId="0" xfId="0" applyAlignment="1" applyFont="1">
      <alignment horizontal="right"/>
    </xf>
    <xf borderId="19" fillId="0" fontId="14" numFmtId="0" xfId="0" applyBorder="1" applyFont="1"/>
    <xf borderId="0" fillId="0" fontId="14" numFmtId="0" xfId="0" applyAlignment="1" applyFont="1">
      <alignment horizontal="right"/>
    </xf>
    <xf borderId="30" fillId="0" fontId="7" numFmtId="0" xfId="0" applyBorder="1" applyFont="1"/>
    <xf borderId="31" fillId="0" fontId="7" numFmtId="0" xfId="0" applyAlignment="1" applyBorder="1" applyFont="1">
      <alignment horizontal="center" vertical="center"/>
    </xf>
  </cellXfs>
  <cellStyles count="1">
    <cellStyle xfId="0" name="Normal" builtinId="0"/>
  </cellStyles>
  <dxfs count="3">
    <dxf>
      <font/>
      <fill>
        <patternFill patternType="solid">
          <fgColor rgb="FFE36C09"/>
          <bgColor rgb="FFE36C09"/>
        </patternFill>
      </fill>
      <border/>
    </dxf>
    <dxf>
      <font>
        <color rgb="FF9C0006"/>
      </font>
      <fill>
        <patternFill patternType="solid">
          <fgColor rgb="FFFFC7CE"/>
          <bgColor rgb="FFFFC7CE"/>
        </patternFill>
      </fill>
      <border/>
    </dxf>
    <dxf>
      <font/>
      <fill>
        <patternFill patternType="solid">
          <fgColor rgb="FFFF0000"/>
          <bgColor rgb="FFFF0000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customschemas.google.com/relationships/workbookmetadata" Target="metadata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3</xdr:col>
      <xdr:colOff>352425</xdr:colOff>
      <xdr:row>3</xdr:row>
      <xdr:rowOff>19050</xdr:rowOff>
    </xdr:from>
    <xdr:ext cx="914400" cy="30480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1">
    <pageSetUpPr/>
  </sheetPr>
  <sheetViews>
    <sheetView workbookViewId="0"/>
  </sheetViews>
  <sheetFormatPr customHeight="1" defaultColWidth="14.43" defaultRowHeight="15.0"/>
  <cols>
    <col customWidth="1" min="1" max="1" width="6.86"/>
    <col customWidth="1" min="2" max="2" width="6.43"/>
    <col customWidth="1" min="3" max="3" width="9.57"/>
    <col customWidth="1" min="4" max="4" width="10.0"/>
    <col customWidth="1" min="5" max="5" width="7.71"/>
    <col customWidth="1" min="6" max="6" width="11.43"/>
    <col customWidth="1" min="7" max="7" width="3.29"/>
    <col customWidth="1" min="8" max="8" width="2.57"/>
    <col customWidth="1" min="9" max="9" width="14.71"/>
    <col customWidth="1" min="10" max="10" width="5.0"/>
    <col customWidth="1" min="11" max="11" width="9.29"/>
    <col customWidth="1" min="12" max="12" width="7.86"/>
    <col customWidth="1" min="13" max="13" width="5.14"/>
    <col customWidth="1" min="14" max="14" width="10.43"/>
    <col customWidth="1" min="15" max="15" width="14.0"/>
    <col customWidth="1" min="16" max="16" width="7.71"/>
    <col customWidth="1" min="17" max="17" width="7.57"/>
    <col customWidth="1" min="18" max="18" width="10.14"/>
    <col customWidth="1" hidden="1" min="19" max="19" width="16.57"/>
    <col customWidth="1" hidden="1" min="20" max="20" width="14.57"/>
    <col customWidth="1" min="21" max="26" width="10.71"/>
  </cols>
  <sheetData>
    <row r="1" ht="12.0" customHeight="1">
      <c r="A1" s="1" t="s">
        <v>0</v>
      </c>
      <c r="B1" s="1"/>
      <c r="C1" s="1" t="str">
        <f>B10</f>
        <v>C.0012</v>
      </c>
      <c r="D1" s="1"/>
      <c r="E1" s="2"/>
      <c r="H1" s="3"/>
      <c r="I1" s="4" t="str">
        <f>CONCATENATE(O2,"-T-",Q4,"-SM-",Q5,"-A-",Q6,"-B-",Q7)</f>
        <v>C.0012-22023-T-26-SM-26-A-0-B-0</v>
      </c>
      <c r="J1" s="5"/>
      <c r="K1" s="5"/>
      <c r="L1" s="1"/>
      <c r="M1" s="6" t="s">
        <v>1</v>
      </c>
      <c r="N1" s="7">
        <v>44985.0</v>
      </c>
      <c r="P1" s="8"/>
      <c r="R1" s="9"/>
      <c r="S1" s="9" t="s">
        <v>2</v>
      </c>
      <c r="T1" s="10" t="s">
        <v>3</v>
      </c>
    </row>
    <row r="2" ht="12.0" customHeight="1">
      <c r="A2" s="1" t="s">
        <v>4</v>
      </c>
      <c r="B2" s="1"/>
      <c r="C2" s="1"/>
      <c r="D2" s="1"/>
      <c r="E2" s="1"/>
      <c r="F2" s="11"/>
      <c r="G2" s="12"/>
      <c r="H2" s="3"/>
      <c r="I2" s="1"/>
      <c r="J2" s="1"/>
      <c r="K2" s="1"/>
      <c r="M2" s="1"/>
      <c r="N2" s="13"/>
      <c r="O2" s="14" t="str">
        <f>+CONCATENATE(C1,"-",B3,B4)</f>
        <v>C.0012-22023</v>
      </c>
      <c r="R2" s="9"/>
      <c r="S2" s="9" t="s">
        <v>5</v>
      </c>
      <c r="T2" s="10" t="s">
        <v>6</v>
      </c>
    </row>
    <row r="3" ht="12.0" customHeight="1">
      <c r="A3" s="1" t="s">
        <v>7</v>
      </c>
      <c r="B3" s="3">
        <f>MONTH(N1)</f>
        <v>2</v>
      </c>
      <c r="D3" s="15"/>
      <c r="E3" s="1"/>
      <c r="F3" s="11"/>
      <c r="G3" s="12"/>
      <c r="H3" s="3"/>
      <c r="I3" s="1"/>
      <c r="J3" s="1"/>
      <c r="L3" s="1"/>
      <c r="M3" s="1"/>
      <c r="N3" s="1"/>
      <c r="O3" s="13">
        <v>0.0</v>
      </c>
      <c r="P3" s="1"/>
      <c r="R3" s="9"/>
      <c r="S3" s="9" t="s">
        <v>8</v>
      </c>
      <c r="T3" s="10" t="s">
        <v>9</v>
      </c>
    </row>
    <row r="4" ht="12.0" customHeight="1">
      <c r="A4" s="1" t="s">
        <v>10</v>
      </c>
      <c r="B4" s="3">
        <f>YEAR(N1)</f>
        <v>2023</v>
      </c>
      <c r="D4" s="1"/>
      <c r="E4" s="3" t="s">
        <v>11</v>
      </c>
      <c r="N4" s="16"/>
      <c r="O4" s="17" t="s">
        <v>12</v>
      </c>
      <c r="P4" s="16"/>
      <c r="Q4" s="18">
        <f>Q5+Q6</f>
        <v>26</v>
      </c>
      <c r="R4" s="16"/>
      <c r="S4" s="9" t="s">
        <v>13</v>
      </c>
      <c r="T4" s="2" t="s">
        <v>14</v>
      </c>
    </row>
    <row r="5" ht="12.0" customHeight="1">
      <c r="A5" s="1" t="s">
        <v>15</v>
      </c>
      <c r="B5" s="3"/>
      <c r="C5" s="1"/>
      <c r="E5" s="3" t="s">
        <v>16</v>
      </c>
      <c r="N5" s="19"/>
      <c r="O5" s="19" t="s">
        <v>17</v>
      </c>
      <c r="P5" s="16"/>
      <c r="Q5" s="19">
        <f>COUNTIF(R:R,T1 )+COUNTIF(R:R,T4 )+COUNTIF(R:R,T5 )+COUNTIF(R:R,T6 )</f>
        <v>26</v>
      </c>
      <c r="R5" s="16"/>
      <c r="S5" s="9" t="s">
        <v>18</v>
      </c>
      <c r="T5" s="2" t="s">
        <v>19</v>
      </c>
    </row>
    <row r="6" ht="12.0" customHeight="1">
      <c r="A6" s="1" t="s">
        <v>20</v>
      </c>
      <c r="B6" s="3"/>
      <c r="C6" s="1"/>
      <c r="F6" s="20"/>
      <c r="G6" s="21"/>
      <c r="J6" s="1"/>
      <c r="K6" s="1"/>
      <c r="L6" s="1"/>
      <c r="M6" s="1"/>
      <c r="N6" s="19"/>
      <c r="O6" s="19" t="s">
        <v>21</v>
      </c>
      <c r="P6" s="16"/>
      <c r="Q6" s="19">
        <f t="shared" ref="Q6:Q7" si="1">COUNTIF(R:R,T2)</f>
        <v>0</v>
      </c>
      <c r="R6" s="16"/>
      <c r="S6" s="9" t="s">
        <v>22</v>
      </c>
      <c r="T6" s="2" t="s">
        <v>23</v>
      </c>
    </row>
    <row r="7" ht="12.0" customHeight="1">
      <c r="A7" s="22" t="s">
        <v>24</v>
      </c>
      <c r="B7" s="3"/>
      <c r="C7" s="1"/>
      <c r="F7" s="20"/>
      <c r="G7" s="21"/>
      <c r="J7" s="1"/>
      <c r="K7" s="1"/>
      <c r="L7" s="1"/>
      <c r="M7" s="1"/>
      <c r="N7" s="19"/>
      <c r="O7" s="19" t="s">
        <v>25</v>
      </c>
      <c r="P7" s="16"/>
      <c r="Q7" s="19">
        <f t="shared" si="1"/>
        <v>0</v>
      </c>
      <c r="R7" s="16"/>
      <c r="S7" s="9" t="s">
        <v>26</v>
      </c>
    </row>
    <row r="8" ht="15.75" customHeight="1">
      <c r="A8" s="1"/>
      <c r="B8" s="23"/>
      <c r="C8" s="24"/>
      <c r="D8" s="24"/>
      <c r="E8" s="24"/>
      <c r="F8" s="20"/>
      <c r="G8" s="21"/>
      <c r="H8" s="2"/>
      <c r="I8" s="2"/>
      <c r="J8" s="2"/>
      <c r="K8" s="2"/>
      <c r="L8" s="3"/>
      <c r="M8" s="3"/>
      <c r="N8" s="25"/>
      <c r="O8" s="25"/>
      <c r="P8" s="25"/>
      <c r="Q8" s="16"/>
      <c r="R8" s="16"/>
      <c r="S8" s="2"/>
      <c r="T8" s="2"/>
      <c r="U8" s="2"/>
      <c r="V8" s="2"/>
      <c r="W8" s="2"/>
      <c r="X8" s="2"/>
      <c r="Y8" s="2"/>
      <c r="Z8" s="2"/>
    </row>
    <row r="9" ht="68.25" customHeight="1">
      <c r="A9" s="26" t="s">
        <v>27</v>
      </c>
      <c r="B9" s="27" t="s">
        <v>28</v>
      </c>
      <c r="C9" s="27" t="s">
        <v>29</v>
      </c>
      <c r="D9" s="27" t="s">
        <v>30</v>
      </c>
      <c r="E9" s="27" t="s">
        <v>31</v>
      </c>
      <c r="F9" s="28" t="s">
        <v>32</v>
      </c>
      <c r="G9" s="29" t="s">
        <v>33</v>
      </c>
      <c r="H9" s="30" t="s">
        <v>34</v>
      </c>
      <c r="I9" s="27" t="s">
        <v>35</v>
      </c>
      <c r="J9" s="31" t="s">
        <v>36</v>
      </c>
      <c r="K9" s="32" t="s">
        <v>37</v>
      </c>
      <c r="L9" s="30" t="s">
        <v>38</v>
      </c>
      <c r="M9" s="30" t="s">
        <v>39</v>
      </c>
      <c r="N9" s="27" t="s">
        <v>40</v>
      </c>
      <c r="O9" s="27" t="s">
        <v>41</v>
      </c>
      <c r="P9" s="27" t="s">
        <v>42</v>
      </c>
      <c r="Q9" s="27" t="s">
        <v>43</v>
      </c>
      <c r="R9" s="33" t="s">
        <v>44</v>
      </c>
    </row>
    <row r="10" ht="25.5" customHeight="1">
      <c r="A10" s="34">
        <f t="shared" ref="A10:A35" si="2">IF(R10="BAJA","",COUNTIF($R$10:R10,"&lt;&gt;BAJA"))</f>
        <v>1</v>
      </c>
      <c r="B10" s="24" t="s">
        <v>45</v>
      </c>
      <c r="C10" s="35" t="s">
        <v>46</v>
      </c>
      <c r="D10" s="35" t="s">
        <v>47</v>
      </c>
      <c r="E10" s="35">
        <v>5.7741507E7</v>
      </c>
      <c r="F10" s="36">
        <v>43414.0</v>
      </c>
      <c r="G10" s="37">
        <f t="shared" ref="G10:G35" si="3">ROUNDDOWN((DATE(2023,2,28)-F10)/365,0)</f>
        <v>4</v>
      </c>
      <c r="H10" s="35" t="s">
        <v>48</v>
      </c>
      <c r="I10" s="35" t="s">
        <v>49</v>
      </c>
      <c r="J10" s="35" t="s">
        <v>50</v>
      </c>
      <c r="K10" s="35" t="s">
        <v>51</v>
      </c>
      <c r="L10" s="35" t="s">
        <v>52</v>
      </c>
      <c r="M10" s="35">
        <v>351.0</v>
      </c>
      <c r="N10" s="35">
        <v>1.52158586E8</v>
      </c>
      <c r="O10" s="35" t="s">
        <v>53</v>
      </c>
      <c r="P10" s="35">
        <v>4.1712081E7</v>
      </c>
      <c r="Q10" s="35" t="s">
        <v>8</v>
      </c>
      <c r="R10" s="35" t="s">
        <v>3</v>
      </c>
    </row>
    <row r="11" ht="25.5" customHeight="1">
      <c r="A11" s="34">
        <f t="shared" si="2"/>
        <v>2</v>
      </c>
      <c r="B11" s="38" t="s">
        <v>45</v>
      </c>
      <c r="C11" s="38" t="s">
        <v>54</v>
      </c>
      <c r="D11" s="38" t="s">
        <v>55</v>
      </c>
      <c r="E11" s="38">
        <v>5.7525892E7</v>
      </c>
      <c r="F11" s="39">
        <v>43538.0</v>
      </c>
      <c r="G11" s="37">
        <f t="shared" si="3"/>
        <v>3</v>
      </c>
      <c r="H11" s="38" t="s">
        <v>56</v>
      </c>
      <c r="I11" s="38" t="s">
        <v>57</v>
      </c>
      <c r="J11" s="38" t="s">
        <v>50</v>
      </c>
      <c r="K11" s="38" t="s">
        <v>51</v>
      </c>
      <c r="L11" s="38" t="s">
        <v>52</v>
      </c>
      <c r="M11" s="38">
        <v>351.0</v>
      </c>
      <c r="N11" s="38">
        <v>1.57166486E8</v>
      </c>
      <c r="O11" s="38" t="s">
        <v>58</v>
      </c>
      <c r="P11" s="38">
        <v>3.761792E7</v>
      </c>
      <c r="Q11" s="38" t="s">
        <v>8</v>
      </c>
      <c r="R11" s="35" t="s">
        <v>3</v>
      </c>
    </row>
    <row r="12" ht="25.5" hidden="1" customHeight="1">
      <c r="A12" s="34">
        <f t="shared" si="2"/>
        <v>3</v>
      </c>
      <c r="B12" s="38" t="s">
        <v>45</v>
      </c>
      <c r="C12" s="38" t="s">
        <v>59</v>
      </c>
      <c r="D12" s="38" t="s">
        <v>60</v>
      </c>
      <c r="E12" s="38">
        <v>5.7877439E7</v>
      </c>
      <c r="F12" s="39">
        <v>43755.0</v>
      </c>
      <c r="G12" s="37">
        <f t="shared" si="3"/>
        <v>3</v>
      </c>
      <c r="H12" s="38" t="s">
        <v>56</v>
      </c>
      <c r="I12" s="38" t="s">
        <v>61</v>
      </c>
      <c r="J12" s="38">
        <v>2880.0</v>
      </c>
      <c r="K12" s="38" t="s">
        <v>62</v>
      </c>
      <c r="L12" s="38" t="s">
        <v>52</v>
      </c>
      <c r="M12" s="38">
        <v>351.0</v>
      </c>
      <c r="N12" s="38">
        <v>1.57169221E8</v>
      </c>
      <c r="O12" s="38" t="s">
        <v>63</v>
      </c>
      <c r="P12" s="38">
        <v>3.8003798E7</v>
      </c>
      <c r="Q12" s="38" t="s">
        <v>8</v>
      </c>
      <c r="R12" s="35" t="s">
        <v>3</v>
      </c>
    </row>
    <row r="13" ht="25.5" hidden="1" customHeight="1">
      <c r="A13" s="34">
        <f t="shared" si="2"/>
        <v>4</v>
      </c>
      <c r="B13" s="38" t="s">
        <v>45</v>
      </c>
      <c r="C13" s="38" t="s">
        <v>64</v>
      </c>
      <c r="D13" s="38" t="s">
        <v>65</v>
      </c>
      <c r="E13" s="38">
        <v>5.8468737E7</v>
      </c>
      <c r="F13" s="39">
        <v>44706.0</v>
      </c>
      <c r="G13" s="38">
        <f t="shared" si="3"/>
        <v>0</v>
      </c>
      <c r="H13" s="38" t="s">
        <v>48</v>
      </c>
      <c r="I13" s="38" t="s">
        <v>66</v>
      </c>
      <c r="J13" s="38" t="s">
        <v>50</v>
      </c>
      <c r="K13" s="38" t="s">
        <v>62</v>
      </c>
      <c r="L13" s="38" t="s">
        <v>52</v>
      </c>
      <c r="M13" s="38">
        <v>351.0</v>
      </c>
      <c r="N13" s="38" t="s">
        <v>50</v>
      </c>
      <c r="O13" s="38" t="s">
        <v>67</v>
      </c>
      <c r="P13" s="38">
        <v>3.2280134E7</v>
      </c>
      <c r="Q13" s="38" t="s">
        <v>8</v>
      </c>
      <c r="R13" s="35" t="s">
        <v>3</v>
      </c>
    </row>
    <row r="14" ht="25.5" customHeight="1">
      <c r="A14" s="34">
        <f t="shared" si="2"/>
        <v>5</v>
      </c>
      <c r="B14" s="38" t="s">
        <v>45</v>
      </c>
      <c r="C14" s="38" t="s">
        <v>68</v>
      </c>
      <c r="D14" s="38" t="s">
        <v>69</v>
      </c>
      <c r="E14" s="38">
        <v>5.7528013E7</v>
      </c>
      <c r="F14" s="39">
        <v>43545.0</v>
      </c>
      <c r="G14" s="37">
        <f t="shared" si="3"/>
        <v>3</v>
      </c>
      <c r="H14" s="38" t="s">
        <v>48</v>
      </c>
      <c r="I14" s="38" t="s">
        <v>70</v>
      </c>
      <c r="J14" s="38" t="s">
        <v>50</v>
      </c>
      <c r="K14" s="38" t="s">
        <v>71</v>
      </c>
      <c r="L14" s="38" t="s">
        <v>52</v>
      </c>
      <c r="M14" s="38">
        <v>351.0</v>
      </c>
      <c r="N14" s="38">
        <v>3430882.0</v>
      </c>
      <c r="O14" s="38" t="s">
        <v>72</v>
      </c>
      <c r="P14" s="38">
        <v>3.5524777E7</v>
      </c>
      <c r="Q14" s="38" t="s">
        <v>8</v>
      </c>
      <c r="R14" s="35" t="s">
        <v>3</v>
      </c>
    </row>
    <row r="15" ht="25.5" customHeight="1">
      <c r="A15" s="34">
        <f t="shared" si="2"/>
        <v>6</v>
      </c>
      <c r="B15" s="38" t="s">
        <v>45</v>
      </c>
      <c r="C15" s="38" t="s">
        <v>73</v>
      </c>
      <c r="D15" s="38" t="s">
        <v>74</v>
      </c>
      <c r="E15" s="38">
        <v>5.7354822E7</v>
      </c>
      <c r="F15" s="39">
        <v>43501.0</v>
      </c>
      <c r="G15" s="37">
        <f t="shared" si="3"/>
        <v>4</v>
      </c>
      <c r="H15" s="38" t="s">
        <v>56</v>
      </c>
      <c r="I15" s="38" t="s">
        <v>75</v>
      </c>
      <c r="J15" s="38" t="s">
        <v>76</v>
      </c>
      <c r="K15" s="38" t="s">
        <v>77</v>
      </c>
      <c r="L15" s="38" t="s">
        <v>52</v>
      </c>
      <c r="M15" s="38">
        <v>351.0</v>
      </c>
      <c r="N15" s="38">
        <v>3524360.0</v>
      </c>
      <c r="O15" s="38" t="s">
        <v>78</v>
      </c>
      <c r="P15" s="38">
        <v>3.6119743E7</v>
      </c>
      <c r="Q15" s="38" t="s">
        <v>8</v>
      </c>
      <c r="R15" s="35" t="s">
        <v>3</v>
      </c>
    </row>
    <row r="16" ht="25.5" customHeight="1">
      <c r="A16" s="34">
        <f t="shared" si="2"/>
        <v>7</v>
      </c>
      <c r="B16" s="38" t="s">
        <v>45</v>
      </c>
      <c r="C16" s="38" t="s">
        <v>79</v>
      </c>
      <c r="D16" s="38" t="s">
        <v>80</v>
      </c>
      <c r="E16" s="38">
        <v>5.7154438E7</v>
      </c>
      <c r="F16" s="39">
        <v>43392.0</v>
      </c>
      <c r="G16" s="37">
        <f t="shared" si="3"/>
        <v>4</v>
      </c>
      <c r="H16" s="38" t="s">
        <v>48</v>
      </c>
      <c r="I16" s="38" t="s">
        <v>81</v>
      </c>
      <c r="J16" s="38">
        <v>3964.0</v>
      </c>
      <c r="K16" s="38" t="s">
        <v>82</v>
      </c>
      <c r="L16" s="38" t="s">
        <v>52</v>
      </c>
      <c r="M16" s="38">
        <v>351.0</v>
      </c>
      <c r="N16" s="38" t="s">
        <v>83</v>
      </c>
      <c r="O16" s="38" t="s">
        <v>84</v>
      </c>
      <c r="P16" s="38">
        <v>3.3083091E7</v>
      </c>
      <c r="Q16" s="38" t="s">
        <v>8</v>
      </c>
      <c r="R16" s="35" t="s">
        <v>3</v>
      </c>
    </row>
    <row r="17" ht="25.5" customHeight="1">
      <c r="A17" s="34">
        <f t="shared" si="2"/>
        <v>8</v>
      </c>
      <c r="B17" s="38" t="s">
        <v>45</v>
      </c>
      <c r="C17" s="38" t="s">
        <v>85</v>
      </c>
      <c r="D17" s="38" t="s">
        <v>86</v>
      </c>
      <c r="E17" s="38">
        <v>5.7711208E7</v>
      </c>
      <c r="F17" s="39">
        <v>43548.0</v>
      </c>
      <c r="G17" s="37">
        <f t="shared" si="3"/>
        <v>3</v>
      </c>
      <c r="H17" s="38" t="s">
        <v>56</v>
      </c>
      <c r="I17" s="38" t="s">
        <v>87</v>
      </c>
      <c r="J17" s="38" t="s">
        <v>50</v>
      </c>
      <c r="K17" s="38" t="s">
        <v>62</v>
      </c>
      <c r="L17" s="38" t="s">
        <v>52</v>
      </c>
      <c r="M17" s="38">
        <v>3549.0</v>
      </c>
      <c r="N17" s="38">
        <v>446608.0</v>
      </c>
      <c r="O17" s="38" t="s">
        <v>88</v>
      </c>
      <c r="P17" s="38">
        <v>4.2637557E7</v>
      </c>
      <c r="Q17" s="38" t="s">
        <v>8</v>
      </c>
      <c r="R17" s="35" t="s">
        <v>3</v>
      </c>
    </row>
    <row r="18" ht="25.5" customHeight="1">
      <c r="A18" s="34">
        <f t="shared" si="2"/>
        <v>9</v>
      </c>
      <c r="B18" s="38" t="s">
        <v>45</v>
      </c>
      <c r="C18" s="38" t="s">
        <v>89</v>
      </c>
      <c r="D18" s="38" t="s">
        <v>90</v>
      </c>
      <c r="E18" s="38">
        <v>5.7566952E7</v>
      </c>
      <c r="F18" s="39">
        <v>43566.0</v>
      </c>
      <c r="G18" s="37">
        <f t="shared" si="3"/>
        <v>3</v>
      </c>
      <c r="H18" s="38" t="s">
        <v>48</v>
      </c>
      <c r="I18" s="38" t="s">
        <v>91</v>
      </c>
      <c r="J18" s="38">
        <v>3870.0</v>
      </c>
      <c r="K18" s="38" t="s">
        <v>92</v>
      </c>
      <c r="L18" s="38" t="s">
        <v>52</v>
      </c>
      <c r="M18" s="38">
        <v>351.0</v>
      </c>
      <c r="N18" s="38">
        <v>6164362.0</v>
      </c>
      <c r="O18" s="38" t="s">
        <v>93</v>
      </c>
      <c r="P18" s="38">
        <v>4.0771702E7</v>
      </c>
      <c r="Q18" s="38" t="s">
        <v>8</v>
      </c>
      <c r="R18" s="35" t="s">
        <v>3</v>
      </c>
    </row>
    <row r="19" ht="25.5" hidden="1" customHeight="1">
      <c r="A19" s="34">
        <f t="shared" si="2"/>
        <v>10</v>
      </c>
      <c r="B19" s="38" t="s">
        <v>45</v>
      </c>
      <c r="C19" s="38" t="s">
        <v>94</v>
      </c>
      <c r="D19" s="38" t="s">
        <v>95</v>
      </c>
      <c r="E19" s="38">
        <v>5.8162793E7</v>
      </c>
      <c r="F19" s="39">
        <v>43956.0</v>
      </c>
      <c r="G19" s="37">
        <f t="shared" si="3"/>
        <v>2</v>
      </c>
      <c r="H19" s="38" t="s">
        <v>48</v>
      </c>
      <c r="I19" s="38" t="s">
        <v>66</v>
      </c>
      <c r="J19" s="38" t="s">
        <v>50</v>
      </c>
      <c r="K19" s="38" t="s">
        <v>62</v>
      </c>
      <c r="L19" s="38" t="s">
        <v>52</v>
      </c>
      <c r="M19" s="38">
        <v>351.0</v>
      </c>
      <c r="N19" s="38" t="s">
        <v>50</v>
      </c>
      <c r="O19" s="38" t="s">
        <v>96</v>
      </c>
      <c r="P19" s="38">
        <v>3.2280134E7</v>
      </c>
      <c r="Q19" s="38" t="s">
        <v>8</v>
      </c>
      <c r="R19" s="35" t="s">
        <v>3</v>
      </c>
    </row>
    <row r="20" ht="25.5" customHeight="1">
      <c r="A20" s="34">
        <f t="shared" si="2"/>
        <v>11</v>
      </c>
      <c r="B20" s="38" t="s">
        <v>45</v>
      </c>
      <c r="C20" s="38" t="s">
        <v>97</v>
      </c>
      <c r="D20" s="38" t="s">
        <v>98</v>
      </c>
      <c r="E20" s="38">
        <v>5.7528065E7</v>
      </c>
      <c r="F20" s="39">
        <v>43556.0</v>
      </c>
      <c r="G20" s="37">
        <f t="shared" si="3"/>
        <v>3</v>
      </c>
      <c r="H20" s="38" t="s">
        <v>56</v>
      </c>
      <c r="I20" s="38" t="s">
        <v>99</v>
      </c>
      <c r="J20" s="38" t="s">
        <v>50</v>
      </c>
      <c r="K20" s="38" t="s">
        <v>62</v>
      </c>
      <c r="L20" s="38" t="s">
        <v>52</v>
      </c>
      <c r="M20" s="38">
        <v>351.0</v>
      </c>
      <c r="N20" s="38">
        <v>3710434.0</v>
      </c>
      <c r="O20" s="38" t="s">
        <v>100</v>
      </c>
      <c r="P20" s="38">
        <v>4.3996444E7</v>
      </c>
      <c r="Q20" s="38" t="s">
        <v>8</v>
      </c>
      <c r="R20" s="35" t="s">
        <v>3</v>
      </c>
    </row>
    <row r="21" ht="25.5" hidden="1" customHeight="1">
      <c r="A21" s="34">
        <f t="shared" si="2"/>
        <v>12</v>
      </c>
      <c r="B21" s="38" t="s">
        <v>45</v>
      </c>
      <c r="C21" s="38" t="s">
        <v>97</v>
      </c>
      <c r="D21" s="38" t="s">
        <v>101</v>
      </c>
      <c r="E21" s="38">
        <v>5.8164804E7</v>
      </c>
      <c r="F21" s="39">
        <v>43957.0</v>
      </c>
      <c r="G21" s="37">
        <f t="shared" si="3"/>
        <v>2</v>
      </c>
      <c r="H21" s="38" t="s">
        <v>48</v>
      </c>
      <c r="I21" s="38" t="s">
        <v>99</v>
      </c>
      <c r="J21" s="38" t="s">
        <v>50</v>
      </c>
      <c r="K21" s="38" t="s">
        <v>62</v>
      </c>
      <c r="L21" s="38" t="s">
        <v>52</v>
      </c>
      <c r="M21" s="38">
        <v>351.0</v>
      </c>
      <c r="N21" s="38">
        <v>6009336.0</v>
      </c>
      <c r="O21" s="38" t="s">
        <v>100</v>
      </c>
      <c r="P21" s="38">
        <v>4.3996444E7</v>
      </c>
      <c r="Q21" s="38" t="s">
        <v>8</v>
      </c>
      <c r="R21" s="35" t="s">
        <v>3</v>
      </c>
    </row>
    <row r="22" ht="25.5" customHeight="1">
      <c r="A22" s="34">
        <f t="shared" si="2"/>
        <v>13</v>
      </c>
      <c r="B22" s="38" t="s">
        <v>45</v>
      </c>
      <c r="C22" s="38" t="s">
        <v>102</v>
      </c>
      <c r="D22" s="38" t="s">
        <v>103</v>
      </c>
      <c r="E22" s="38">
        <v>5.6979787E7</v>
      </c>
      <c r="F22" s="39">
        <v>43311.0</v>
      </c>
      <c r="G22" s="37">
        <f t="shared" si="3"/>
        <v>4</v>
      </c>
      <c r="H22" s="38" t="s">
        <v>48</v>
      </c>
      <c r="I22" s="38" t="s">
        <v>104</v>
      </c>
      <c r="J22" s="38" t="s">
        <v>50</v>
      </c>
      <c r="K22" s="38" t="s">
        <v>62</v>
      </c>
      <c r="L22" s="38" t="s">
        <v>52</v>
      </c>
      <c r="M22" s="38">
        <v>351.0</v>
      </c>
      <c r="N22" s="38">
        <v>2845295.0</v>
      </c>
      <c r="O22" s="38" t="s">
        <v>105</v>
      </c>
      <c r="P22" s="38">
        <v>4.2641148E7</v>
      </c>
      <c r="Q22" s="38" t="s">
        <v>8</v>
      </c>
      <c r="R22" s="35" t="s">
        <v>3</v>
      </c>
    </row>
    <row r="23" ht="25.5" hidden="1" customHeight="1">
      <c r="A23" s="34">
        <f t="shared" si="2"/>
        <v>14</v>
      </c>
      <c r="B23" s="38" t="s">
        <v>45</v>
      </c>
      <c r="C23" s="38" t="s">
        <v>106</v>
      </c>
      <c r="D23" s="38" t="s">
        <v>107</v>
      </c>
      <c r="E23" s="38">
        <v>5.8679766E7</v>
      </c>
      <c r="F23" s="39">
        <v>43840.0</v>
      </c>
      <c r="G23" s="37">
        <f t="shared" si="3"/>
        <v>3</v>
      </c>
      <c r="H23" s="38" t="s">
        <v>48</v>
      </c>
      <c r="I23" s="38" t="s">
        <v>108</v>
      </c>
      <c r="J23" s="38" t="s">
        <v>50</v>
      </c>
      <c r="K23" s="38" t="s">
        <v>109</v>
      </c>
      <c r="L23" s="38" t="s">
        <v>52</v>
      </c>
      <c r="M23" s="38">
        <v>351.0</v>
      </c>
      <c r="N23" s="38">
        <v>6341800.0</v>
      </c>
      <c r="O23" s="38" t="s">
        <v>110</v>
      </c>
      <c r="P23" s="38">
        <v>4.7264506E7</v>
      </c>
      <c r="Q23" s="38" t="s">
        <v>8</v>
      </c>
      <c r="R23" s="35" t="s">
        <v>3</v>
      </c>
    </row>
    <row r="24" ht="25.5" customHeight="1">
      <c r="A24" s="34">
        <f t="shared" si="2"/>
        <v>15</v>
      </c>
      <c r="B24" s="38" t="s">
        <v>45</v>
      </c>
      <c r="C24" s="38" t="s">
        <v>111</v>
      </c>
      <c r="D24" s="38" t="s">
        <v>112</v>
      </c>
      <c r="E24" s="38">
        <v>5.7739107E7</v>
      </c>
      <c r="F24" s="39">
        <v>43591.0</v>
      </c>
      <c r="G24" s="37">
        <f t="shared" si="3"/>
        <v>3</v>
      </c>
      <c r="H24" s="38" t="s">
        <v>56</v>
      </c>
      <c r="I24" s="38" t="s">
        <v>113</v>
      </c>
      <c r="J24" s="38" t="s">
        <v>50</v>
      </c>
      <c r="K24" s="38" t="s">
        <v>109</v>
      </c>
      <c r="L24" s="38" t="s">
        <v>52</v>
      </c>
      <c r="M24" s="38">
        <v>351.0</v>
      </c>
      <c r="N24" s="38">
        <v>3999456.0</v>
      </c>
      <c r="O24" s="38" t="s">
        <v>114</v>
      </c>
      <c r="P24" s="38">
        <v>3.6142728E7</v>
      </c>
      <c r="Q24" s="38" t="s">
        <v>8</v>
      </c>
      <c r="R24" s="35" t="s">
        <v>3</v>
      </c>
    </row>
    <row r="25" ht="25.5" hidden="1" customHeight="1">
      <c r="A25" s="34">
        <f t="shared" si="2"/>
        <v>16</v>
      </c>
      <c r="B25" s="38" t="s">
        <v>45</v>
      </c>
      <c r="C25" s="38" t="s">
        <v>115</v>
      </c>
      <c r="D25" s="38" t="s">
        <v>116</v>
      </c>
      <c r="E25" s="38">
        <v>5.7942161E7</v>
      </c>
      <c r="F25" s="39">
        <v>43762.0</v>
      </c>
      <c r="G25" s="37">
        <f t="shared" si="3"/>
        <v>3</v>
      </c>
      <c r="H25" s="38" t="s">
        <v>56</v>
      </c>
      <c r="I25" s="38" t="s">
        <v>117</v>
      </c>
      <c r="J25" s="38" t="s">
        <v>50</v>
      </c>
      <c r="K25" s="38" t="s">
        <v>62</v>
      </c>
      <c r="L25" s="38" t="s">
        <v>52</v>
      </c>
      <c r="M25" s="38">
        <v>351.0</v>
      </c>
      <c r="N25" s="38">
        <v>7913045.0</v>
      </c>
      <c r="O25" s="38" t="s">
        <v>118</v>
      </c>
      <c r="P25" s="38">
        <v>4.0106264E7</v>
      </c>
      <c r="Q25" s="38" t="s">
        <v>8</v>
      </c>
      <c r="R25" s="35" t="s">
        <v>3</v>
      </c>
    </row>
    <row r="26" ht="25.5" hidden="1" customHeight="1">
      <c r="A26" s="34">
        <f t="shared" si="2"/>
        <v>17</v>
      </c>
      <c r="B26" s="38" t="s">
        <v>45</v>
      </c>
      <c r="C26" s="38" t="s">
        <v>119</v>
      </c>
      <c r="D26" s="38" t="s">
        <v>120</v>
      </c>
      <c r="E26" s="38">
        <v>5.8557797E7</v>
      </c>
      <c r="F26" s="39">
        <v>44159.0</v>
      </c>
      <c r="G26" s="37">
        <f t="shared" si="3"/>
        <v>2</v>
      </c>
      <c r="H26" s="38" t="s">
        <v>56</v>
      </c>
      <c r="I26" s="38" t="s">
        <v>121</v>
      </c>
      <c r="J26" s="38" t="s">
        <v>50</v>
      </c>
      <c r="K26" s="38" t="s">
        <v>62</v>
      </c>
      <c r="L26" s="38" t="s">
        <v>52</v>
      </c>
      <c r="M26" s="38">
        <v>351.0</v>
      </c>
      <c r="N26" s="38">
        <v>7557174.0</v>
      </c>
      <c r="O26" s="38" t="s">
        <v>122</v>
      </c>
      <c r="P26" s="38">
        <v>3.9935833E7</v>
      </c>
      <c r="Q26" s="38" t="s">
        <v>8</v>
      </c>
      <c r="R26" s="35" t="s">
        <v>3</v>
      </c>
    </row>
    <row r="27" ht="25.5" hidden="1" customHeight="1">
      <c r="A27" s="34">
        <f t="shared" si="2"/>
        <v>18</v>
      </c>
      <c r="B27" s="38" t="s">
        <v>45</v>
      </c>
      <c r="C27" s="38" t="s">
        <v>123</v>
      </c>
      <c r="D27" s="38" t="s">
        <v>124</v>
      </c>
      <c r="E27" s="38">
        <v>5.9432178E7</v>
      </c>
      <c r="F27" s="40">
        <v>44740.0</v>
      </c>
      <c r="G27" s="38">
        <f t="shared" si="3"/>
        <v>0</v>
      </c>
      <c r="H27" s="38" t="s">
        <v>48</v>
      </c>
      <c r="I27" s="38" t="s">
        <v>125</v>
      </c>
      <c r="J27" s="38" t="s">
        <v>50</v>
      </c>
      <c r="K27" s="38" t="s">
        <v>51</v>
      </c>
      <c r="L27" s="38" t="s">
        <v>52</v>
      </c>
      <c r="M27" s="38">
        <v>351.0</v>
      </c>
      <c r="N27" s="38">
        <v>7675271.0</v>
      </c>
      <c r="O27" s="38" t="s">
        <v>126</v>
      </c>
      <c r="P27" s="38">
        <v>2.6234816E7</v>
      </c>
      <c r="Q27" s="38" t="s">
        <v>8</v>
      </c>
      <c r="R27" s="35" t="s">
        <v>3</v>
      </c>
    </row>
    <row r="28" ht="25.5" hidden="1" customHeight="1">
      <c r="A28" s="34">
        <f t="shared" si="2"/>
        <v>19</v>
      </c>
      <c r="B28" s="38" t="s">
        <v>45</v>
      </c>
      <c r="C28" s="38" t="s">
        <v>127</v>
      </c>
      <c r="D28" s="38" t="s">
        <v>128</v>
      </c>
      <c r="E28" s="38">
        <v>5.8162715E7</v>
      </c>
      <c r="F28" s="39">
        <v>43929.0</v>
      </c>
      <c r="G28" s="37">
        <f t="shared" si="3"/>
        <v>2</v>
      </c>
      <c r="H28" s="38" t="s">
        <v>56</v>
      </c>
      <c r="I28" s="38" t="s">
        <v>125</v>
      </c>
      <c r="J28" s="38" t="s">
        <v>50</v>
      </c>
      <c r="K28" s="38" t="s">
        <v>129</v>
      </c>
      <c r="L28" s="38" t="s">
        <v>52</v>
      </c>
      <c r="M28" s="38">
        <v>351.0</v>
      </c>
      <c r="N28" s="38">
        <v>7867527.0</v>
      </c>
      <c r="O28" s="38" t="s">
        <v>126</v>
      </c>
      <c r="P28" s="38">
        <v>3.6234816E7</v>
      </c>
      <c r="Q28" s="38" t="s">
        <v>8</v>
      </c>
      <c r="R28" s="35" t="s">
        <v>3</v>
      </c>
    </row>
    <row r="29" ht="25.5" hidden="1" customHeight="1">
      <c r="A29" s="34">
        <f t="shared" si="2"/>
        <v>20</v>
      </c>
      <c r="B29" s="38" t="s">
        <v>45</v>
      </c>
      <c r="C29" s="38" t="s">
        <v>130</v>
      </c>
      <c r="D29" s="38" t="s">
        <v>131</v>
      </c>
      <c r="E29" s="38">
        <v>5.8165182E7</v>
      </c>
      <c r="F29" s="39">
        <v>44013.0</v>
      </c>
      <c r="G29" s="37">
        <f t="shared" si="3"/>
        <v>2</v>
      </c>
      <c r="H29" s="38" t="s">
        <v>56</v>
      </c>
      <c r="I29" s="38" t="s">
        <v>132</v>
      </c>
      <c r="J29" s="38" t="s">
        <v>50</v>
      </c>
      <c r="K29" s="38" t="s">
        <v>62</v>
      </c>
      <c r="L29" s="38" t="s">
        <v>52</v>
      </c>
      <c r="M29" s="38">
        <v>351.0</v>
      </c>
      <c r="N29" s="38">
        <v>3949974.0</v>
      </c>
      <c r="O29" s="38" t="s">
        <v>133</v>
      </c>
      <c r="P29" s="38">
        <v>3.8181313E7</v>
      </c>
      <c r="Q29" s="38" t="s">
        <v>2</v>
      </c>
      <c r="R29" s="35" t="s">
        <v>3</v>
      </c>
    </row>
    <row r="30" ht="25.5" hidden="1" customHeight="1">
      <c r="A30" s="34">
        <f t="shared" si="2"/>
        <v>21</v>
      </c>
      <c r="B30" s="38" t="s">
        <v>45</v>
      </c>
      <c r="C30" s="38" t="s">
        <v>134</v>
      </c>
      <c r="D30" s="38" t="s">
        <v>135</v>
      </c>
      <c r="E30" s="38">
        <v>5.8680822E7</v>
      </c>
      <c r="F30" s="39">
        <v>44268.0</v>
      </c>
      <c r="G30" s="37">
        <f t="shared" si="3"/>
        <v>1</v>
      </c>
      <c r="H30" s="38" t="s">
        <v>56</v>
      </c>
      <c r="I30" s="38" t="s">
        <v>136</v>
      </c>
      <c r="J30" s="38" t="s">
        <v>50</v>
      </c>
      <c r="K30" s="38" t="s">
        <v>62</v>
      </c>
      <c r="L30" s="38" t="s">
        <v>52</v>
      </c>
      <c r="M30" s="38">
        <v>351.0</v>
      </c>
      <c r="N30" s="38">
        <v>8068192.0</v>
      </c>
      <c r="O30" s="38" t="s">
        <v>137</v>
      </c>
      <c r="P30" s="38">
        <v>4.0519312E7</v>
      </c>
      <c r="Q30" s="38" t="s">
        <v>8</v>
      </c>
      <c r="R30" s="35" t="s">
        <v>3</v>
      </c>
    </row>
    <row r="31" ht="25.5" hidden="1" customHeight="1">
      <c r="A31" s="34">
        <f t="shared" si="2"/>
        <v>22</v>
      </c>
      <c r="B31" s="38" t="s">
        <v>45</v>
      </c>
      <c r="C31" s="38" t="s">
        <v>138</v>
      </c>
      <c r="D31" s="38" t="s">
        <v>139</v>
      </c>
      <c r="E31" s="38">
        <v>5.9255462E7</v>
      </c>
      <c r="F31" s="40">
        <v>44601.0</v>
      </c>
      <c r="G31" s="38">
        <f t="shared" si="3"/>
        <v>1</v>
      </c>
      <c r="H31" s="38" t="s">
        <v>56</v>
      </c>
      <c r="I31" s="38" t="s">
        <v>140</v>
      </c>
      <c r="J31" s="38" t="s">
        <v>50</v>
      </c>
      <c r="K31" s="38" t="s">
        <v>51</v>
      </c>
      <c r="L31" s="38" t="s">
        <v>52</v>
      </c>
      <c r="M31" s="38">
        <v>351.0</v>
      </c>
      <c r="N31" s="38">
        <v>7161947.0</v>
      </c>
      <c r="O31" s="38" t="s">
        <v>141</v>
      </c>
      <c r="P31" s="38">
        <v>5.0188588E7</v>
      </c>
      <c r="Q31" s="38" t="s">
        <v>8</v>
      </c>
      <c r="R31" s="35" t="s">
        <v>3</v>
      </c>
    </row>
    <row r="32" ht="25.5" customHeight="1">
      <c r="A32" s="34">
        <f t="shared" si="2"/>
        <v>23</v>
      </c>
      <c r="B32" s="38" t="s">
        <v>45</v>
      </c>
      <c r="C32" s="38" t="s">
        <v>138</v>
      </c>
      <c r="D32" s="38" t="s">
        <v>142</v>
      </c>
      <c r="E32" s="38">
        <v>5.9468731E7</v>
      </c>
      <c r="F32" s="39">
        <v>43417.0</v>
      </c>
      <c r="G32" s="37">
        <f t="shared" si="3"/>
        <v>4</v>
      </c>
      <c r="H32" s="38" t="s">
        <v>56</v>
      </c>
      <c r="I32" s="38" t="s">
        <v>143</v>
      </c>
      <c r="J32" s="38" t="s">
        <v>50</v>
      </c>
      <c r="K32" s="38" t="s">
        <v>62</v>
      </c>
      <c r="L32" s="38" t="s">
        <v>52</v>
      </c>
      <c r="M32" s="38">
        <v>351.0</v>
      </c>
      <c r="N32" s="38">
        <v>2128385.0</v>
      </c>
      <c r="O32" s="38" t="s">
        <v>144</v>
      </c>
      <c r="P32" s="38">
        <v>3.2875109E7</v>
      </c>
      <c r="Q32" s="38" t="s">
        <v>8</v>
      </c>
      <c r="R32" s="35" t="s">
        <v>3</v>
      </c>
    </row>
    <row r="33" ht="15.75" hidden="1" customHeight="1">
      <c r="A33" s="34">
        <f t="shared" si="2"/>
        <v>24</v>
      </c>
      <c r="B33" s="38" t="s">
        <v>45</v>
      </c>
      <c r="C33" s="38" t="s">
        <v>138</v>
      </c>
      <c r="D33" s="38" t="s">
        <v>145</v>
      </c>
      <c r="E33" s="38">
        <v>5.9468732E7</v>
      </c>
      <c r="F33" s="39">
        <v>44056.0</v>
      </c>
      <c r="G33" s="37">
        <f t="shared" si="3"/>
        <v>2</v>
      </c>
      <c r="H33" s="38" t="s">
        <v>56</v>
      </c>
      <c r="I33" s="38" t="s">
        <v>143</v>
      </c>
      <c r="J33" s="38" t="s">
        <v>50</v>
      </c>
      <c r="K33" s="38" t="s">
        <v>62</v>
      </c>
      <c r="L33" s="38" t="s">
        <v>52</v>
      </c>
      <c r="M33" s="38">
        <v>351.0</v>
      </c>
      <c r="N33" s="38">
        <v>2128385.0</v>
      </c>
      <c r="O33" s="38" t="s">
        <v>144</v>
      </c>
      <c r="P33" s="38">
        <v>3.2875109E7</v>
      </c>
      <c r="Q33" s="38" t="s">
        <v>8</v>
      </c>
      <c r="R33" s="35" t="s">
        <v>3</v>
      </c>
    </row>
    <row r="34" ht="27.75" hidden="1" customHeight="1">
      <c r="A34" s="34">
        <f t="shared" si="2"/>
        <v>25</v>
      </c>
      <c r="B34" s="38" t="s">
        <v>45</v>
      </c>
      <c r="C34" s="38" t="s">
        <v>146</v>
      </c>
      <c r="D34" s="38" t="s">
        <v>147</v>
      </c>
      <c r="E34" s="38">
        <v>5.8386733E7</v>
      </c>
      <c r="F34" s="39">
        <v>44072.0</v>
      </c>
      <c r="G34" s="37">
        <f t="shared" si="3"/>
        <v>2</v>
      </c>
      <c r="H34" s="38" t="s">
        <v>56</v>
      </c>
      <c r="I34" s="38" t="s">
        <v>66</v>
      </c>
      <c r="J34" s="38" t="s">
        <v>50</v>
      </c>
      <c r="K34" s="38" t="s">
        <v>62</v>
      </c>
      <c r="L34" s="38" t="s">
        <v>52</v>
      </c>
      <c r="M34" s="38">
        <v>351.0</v>
      </c>
      <c r="N34" s="38">
        <v>1.57175234E8</v>
      </c>
      <c r="O34" s="38" t="s">
        <v>148</v>
      </c>
      <c r="P34" s="38">
        <v>4.2383592E7</v>
      </c>
      <c r="Q34" s="38" t="s">
        <v>8</v>
      </c>
      <c r="R34" s="35" t="s">
        <v>3</v>
      </c>
    </row>
    <row r="35" ht="24.0" hidden="1" customHeight="1">
      <c r="A35" s="34">
        <f t="shared" si="2"/>
        <v>26</v>
      </c>
      <c r="B35" s="38" t="s">
        <v>45</v>
      </c>
      <c r="C35" s="38" t="s">
        <v>149</v>
      </c>
      <c r="D35" s="38" t="s">
        <v>150</v>
      </c>
      <c r="E35" s="38">
        <v>5.8162768E7</v>
      </c>
      <c r="F35" s="39">
        <v>43995.0</v>
      </c>
      <c r="G35" s="37">
        <f t="shared" si="3"/>
        <v>2</v>
      </c>
      <c r="H35" s="38" t="s">
        <v>56</v>
      </c>
      <c r="I35" s="38" t="s">
        <v>151</v>
      </c>
      <c r="J35" s="38" t="s">
        <v>50</v>
      </c>
      <c r="K35" s="38" t="s">
        <v>62</v>
      </c>
      <c r="L35" s="38" t="s">
        <v>52</v>
      </c>
      <c r="M35" s="38">
        <v>351.0</v>
      </c>
      <c r="N35" s="38">
        <v>5742148.0</v>
      </c>
      <c r="O35" s="38" t="s">
        <v>152</v>
      </c>
      <c r="P35" s="38">
        <v>4.4194578E7</v>
      </c>
      <c r="Q35" s="38" t="s">
        <v>8</v>
      </c>
      <c r="R35" s="35" t="s">
        <v>3</v>
      </c>
    </row>
    <row r="36" ht="15.75" customHeight="1">
      <c r="F36" s="20"/>
      <c r="G36" s="21"/>
      <c r="R36" s="9"/>
    </row>
    <row r="37" ht="59.25" customHeight="1">
      <c r="A37" s="41" t="s">
        <v>153</v>
      </c>
      <c r="R37" s="2"/>
    </row>
    <row r="38" ht="15.75" customHeight="1">
      <c r="F38" s="20"/>
      <c r="G38" s="21"/>
      <c r="R38" s="9"/>
    </row>
    <row r="39" ht="15.75" customHeight="1">
      <c r="F39" s="20"/>
      <c r="G39" s="21"/>
      <c r="R39" s="9"/>
    </row>
    <row r="40" ht="15.75" customHeight="1">
      <c r="F40" s="20"/>
      <c r="G40" s="21"/>
      <c r="R40" s="9"/>
    </row>
    <row r="41" ht="15.75" customHeight="1">
      <c r="F41" s="20"/>
      <c r="G41" s="21"/>
      <c r="R41" s="9"/>
    </row>
    <row r="42" ht="15.75" customHeight="1">
      <c r="F42" s="20"/>
      <c r="G42" s="21"/>
      <c r="R42" s="9"/>
    </row>
    <row r="43" ht="15.75" customHeight="1">
      <c r="F43" s="20"/>
      <c r="G43" s="21"/>
      <c r="R43" s="9"/>
    </row>
    <row r="44" ht="15.75" customHeight="1">
      <c r="F44" s="20"/>
      <c r="G44" s="21"/>
      <c r="R44" s="9"/>
    </row>
    <row r="45" ht="15.75" customHeight="1">
      <c r="F45" s="20"/>
      <c r="G45" s="21"/>
      <c r="R45" s="9"/>
    </row>
    <row r="46" ht="15.75" customHeight="1">
      <c r="F46" s="20"/>
      <c r="G46" s="21"/>
      <c r="R46" s="9"/>
    </row>
    <row r="47" ht="15.75" customHeight="1">
      <c r="F47" s="20"/>
      <c r="G47" s="21"/>
      <c r="R47" s="9"/>
    </row>
    <row r="48" ht="15.75" customHeight="1">
      <c r="F48" s="20"/>
      <c r="G48" s="21"/>
      <c r="R48" s="9"/>
    </row>
    <row r="49" ht="15.75" customHeight="1">
      <c r="F49" s="20"/>
      <c r="G49" s="21"/>
      <c r="R49" s="9"/>
    </row>
    <row r="50" ht="15.75" customHeight="1">
      <c r="F50" s="20"/>
      <c r="G50" s="21"/>
      <c r="R50" s="9"/>
    </row>
    <row r="51" ht="15.75" customHeight="1">
      <c r="F51" s="20"/>
      <c r="G51" s="21"/>
      <c r="R51" s="9"/>
    </row>
    <row r="52" ht="15.75" customHeight="1">
      <c r="F52" s="20"/>
      <c r="G52" s="21"/>
      <c r="R52" s="9"/>
    </row>
    <row r="53" ht="15.75" customHeight="1">
      <c r="F53" s="20"/>
      <c r="G53" s="21"/>
      <c r="R53" s="9"/>
    </row>
    <row r="54" ht="15.75" customHeight="1">
      <c r="F54" s="20"/>
      <c r="G54" s="21"/>
      <c r="R54" s="9"/>
    </row>
    <row r="55" ht="15.75" customHeight="1">
      <c r="F55" s="20"/>
      <c r="G55" s="21"/>
      <c r="R55" s="9"/>
    </row>
    <row r="56" ht="15.75" customHeight="1">
      <c r="F56" s="20"/>
      <c r="G56" s="21"/>
      <c r="R56" s="9"/>
    </row>
    <row r="57" ht="15.75" customHeight="1">
      <c r="F57" s="20"/>
      <c r="G57" s="21"/>
      <c r="R57" s="9"/>
    </row>
    <row r="58" ht="15.75" customHeight="1">
      <c r="F58" s="20"/>
      <c r="G58" s="21"/>
      <c r="R58" s="9"/>
    </row>
    <row r="59" ht="15.75" customHeight="1">
      <c r="F59" s="20"/>
      <c r="G59" s="21"/>
      <c r="R59" s="9"/>
    </row>
    <row r="60" ht="15.75" customHeight="1">
      <c r="F60" s="20"/>
      <c r="G60" s="21"/>
      <c r="R60" s="9"/>
    </row>
    <row r="61" ht="15.75" customHeight="1">
      <c r="F61" s="20"/>
      <c r="G61" s="21"/>
      <c r="R61" s="9"/>
    </row>
    <row r="62" ht="15.75" customHeight="1">
      <c r="F62" s="20"/>
      <c r="G62" s="21"/>
      <c r="R62" s="9"/>
    </row>
    <row r="63" ht="15.75" customHeight="1">
      <c r="F63" s="20"/>
      <c r="G63" s="21"/>
      <c r="R63" s="9"/>
    </row>
    <row r="64" ht="15.75" customHeight="1">
      <c r="F64" s="20"/>
      <c r="G64" s="21"/>
      <c r="R64" s="9"/>
    </row>
    <row r="65" ht="15.75" customHeight="1">
      <c r="F65" s="20"/>
      <c r="G65" s="21"/>
      <c r="R65" s="9"/>
    </row>
    <row r="66" ht="15.75" customHeight="1">
      <c r="F66" s="20"/>
      <c r="G66" s="21"/>
      <c r="R66" s="9"/>
    </row>
    <row r="67" ht="15.75" customHeight="1">
      <c r="F67" s="20"/>
      <c r="G67" s="21"/>
      <c r="R67" s="9"/>
    </row>
    <row r="68" ht="15.75" customHeight="1">
      <c r="F68" s="20"/>
      <c r="G68" s="21"/>
      <c r="R68" s="9"/>
    </row>
    <row r="69" ht="15.75" customHeight="1">
      <c r="F69" s="20"/>
      <c r="G69" s="21"/>
      <c r="R69" s="9"/>
    </row>
    <row r="70" ht="15.75" customHeight="1">
      <c r="F70" s="20"/>
      <c r="G70" s="21"/>
      <c r="R70" s="9"/>
    </row>
    <row r="71" ht="15.75" customHeight="1">
      <c r="F71" s="20"/>
      <c r="G71" s="21"/>
      <c r="R71" s="9"/>
    </row>
    <row r="72" ht="15.75" customHeight="1">
      <c r="F72" s="20"/>
      <c r="G72" s="21"/>
      <c r="R72" s="9"/>
    </row>
    <row r="73" ht="15.75" customHeight="1">
      <c r="F73" s="20"/>
      <c r="G73" s="21"/>
      <c r="R73" s="9"/>
    </row>
    <row r="74" ht="15.75" customHeight="1">
      <c r="F74" s="20"/>
      <c r="G74" s="21"/>
      <c r="R74" s="9"/>
    </row>
    <row r="75" ht="15.75" customHeight="1">
      <c r="F75" s="20"/>
      <c r="G75" s="21"/>
      <c r="R75" s="9"/>
    </row>
    <row r="76" ht="15.75" customHeight="1">
      <c r="F76" s="20"/>
      <c r="G76" s="21"/>
      <c r="R76" s="9"/>
    </row>
    <row r="77" ht="15.75" customHeight="1">
      <c r="F77" s="20"/>
      <c r="G77" s="21"/>
      <c r="R77" s="9"/>
    </row>
    <row r="78" ht="15.75" customHeight="1">
      <c r="F78" s="20"/>
      <c r="G78" s="21"/>
      <c r="R78" s="9"/>
    </row>
    <row r="79" ht="15.75" customHeight="1">
      <c r="F79" s="20"/>
      <c r="G79" s="21"/>
      <c r="R79" s="9"/>
    </row>
    <row r="80" ht="15.75" customHeight="1">
      <c r="F80" s="20"/>
      <c r="G80" s="21"/>
      <c r="R80" s="9"/>
    </row>
    <row r="81" ht="15.75" customHeight="1">
      <c r="F81" s="20"/>
      <c r="G81" s="21"/>
      <c r="R81" s="9"/>
    </row>
    <row r="82" ht="15.75" customHeight="1">
      <c r="F82" s="20"/>
      <c r="G82" s="21"/>
      <c r="R82" s="9"/>
    </row>
    <row r="83" ht="15.75" customHeight="1">
      <c r="F83" s="20"/>
      <c r="G83" s="21"/>
      <c r="R83" s="9"/>
    </row>
    <row r="84" ht="15.75" customHeight="1">
      <c r="F84" s="20"/>
      <c r="G84" s="21"/>
      <c r="R84" s="9"/>
    </row>
    <row r="85" ht="15.75" customHeight="1">
      <c r="F85" s="20"/>
      <c r="G85" s="21"/>
      <c r="R85" s="9"/>
    </row>
    <row r="86" ht="15.75" customHeight="1">
      <c r="F86" s="20"/>
      <c r="G86" s="21"/>
      <c r="R86" s="9"/>
    </row>
    <row r="87" ht="15.75" customHeight="1">
      <c r="F87" s="20"/>
      <c r="G87" s="21"/>
      <c r="R87" s="9"/>
    </row>
    <row r="88" ht="15.75" customHeight="1">
      <c r="F88" s="20"/>
      <c r="G88" s="21"/>
      <c r="R88" s="9"/>
    </row>
    <row r="89" ht="15.75" customHeight="1">
      <c r="F89" s="20"/>
      <c r="G89" s="21"/>
      <c r="R89" s="9"/>
    </row>
    <row r="90" ht="15.75" customHeight="1">
      <c r="F90" s="20"/>
      <c r="G90" s="21"/>
      <c r="R90" s="9"/>
    </row>
    <row r="91" ht="15.75" customHeight="1">
      <c r="F91" s="20"/>
      <c r="G91" s="21"/>
      <c r="R91" s="9"/>
    </row>
    <row r="92" ht="15.75" customHeight="1">
      <c r="F92" s="20"/>
      <c r="G92" s="21"/>
      <c r="R92" s="9"/>
    </row>
    <row r="93" ht="15.75" customHeight="1">
      <c r="F93" s="20"/>
      <c r="G93" s="21"/>
      <c r="R93" s="9"/>
    </row>
    <row r="94" ht="15.75" customHeight="1">
      <c r="F94" s="20"/>
      <c r="G94" s="21"/>
      <c r="R94" s="9"/>
    </row>
    <row r="95" ht="15.75" customHeight="1">
      <c r="F95" s="20"/>
      <c r="G95" s="21"/>
      <c r="R95" s="9"/>
    </row>
    <row r="96" ht="15.75" customHeight="1">
      <c r="F96" s="20"/>
      <c r="G96" s="21"/>
      <c r="R96" s="9"/>
    </row>
    <row r="97" ht="15.75" customHeight="1">
      <c r="F97" s="20"/>
      <c r="G97" s="21"/>
      <c r="R97" s="9"/>
    </row>
    <row r="98" ht="15.75" customHeight="1">
      <c r="F98" s="20"/>
      <c r="G98" s="21"/>
      <c r="R98" s="9"/>
    </row>
    <row r="99" ht="15.75" customHeight="1">
      <c r="F99" s="20"/>
      <c r="G99" s="21"/>
      <c r="R99" s="9"/>
    </row>
    <row r="100" ht="15.75" customHeight="1">
      <c r="F100" s="20"/>
      <c r="G100" s="21"/>
      <c r="R100" s="9"/>
    </row>
    <row r="101" ht="15.75" customHeight="1">
      <c r="F101" s="20"/>
      <c r="G101" s="21"/>
      <c r="R101" s="9"/>
    </row>
    <row r="102" ht="15.75" customHeight="1">
      <c r="F102" s="20"/>
      <c r="G102" s="21"/>
      <c r="R102" s="9"/>
    </row>
    <row r="103" ht="15.75" customHeight="1">
      <c r="F103" s="20"/>
      <c r="G103" s="21"/>
      <c r="R103" s="9"/>
    </row>
    <row r="104" ht="15.75" customHeight="1">
      <c r="F104" s="20"/>
      <c r="G104" s="21"/>
      <c r="R104" s="9"/>
    </row>
    <row r="105" ht="15.75" customHeight="1">
      <c r="F105" s="20"/>
      <c r="G105" s="21"/>
      <c r="R105" s="9"/>
    </row>
    <row r="106" ht="15.75" customHeight="1">
      <c r="F106" s="20"/>
      <c r="G106" s="21"/>
      <c r="R106" s="9"/>
    </row>
    <row r="107" ht="15.75" customHeight="1">
      <c r="F107" s="20"/>
      <c r="G107" s="21"/>
      <c r="R107" s="9"/>
    </row>
    <row r="108" ht="15.75" customHeight="1">
      <c r="F108" s="20"/>
      <c r="G108" s="21"/>
      <c r="R108" s="9"/>
    </row>
    <row r="109" ht="15.75" customHeight="1">
      <c r="F109" s="20"/>
      <c r="G109" s="21"/>
      <c r="R109" s="9"/>
    </row>
    <row r="110" ht="15.75" customHeight="1">
      <c r="F110" s="20"/>
      <c r="G110" s="21"/>
      <c r="R110" s="9"/>
    </row>
    <row r="111" ht="15.75" customHeight="1">
      <c r="F111" s="20"/>
      <c r="G111" s="21"/>
      <c r="R111" s="9"/>
    </row>
    <row r="112" ht="15.75" customHeight="1">
      <c r="F112" s="20"/>
      <c r="G112" s="21"/>
      <c r="R112" s="9"/>
    </row>
    <row r="113" ht="15.75" customHeight="1">
      <c r="F113" s="20"/>
      <c r="G113" s="21"/>
      <c r="R113" s="9"/>
    </row>
    <row r="114" ht="15.75" customHeight="1">
      <c r="F114" s="20"/>
      <c r="G114" s="21"/>
      <c r="R114" s="9"/>
    </row>
    <row r="115" ht="15.75" customHeight="1">
      <c r="F115" s="20"/>
      <c r="G115" s="21"/>
      <c r="R115" s="9"/>
    </row>
    <row r="116" ht="15.75" customHeight="1">
      <c r="F116" s="20"/>
      <c r="G116" s="21"/>
      <c r="R116" s="9"/>
    </row>
    <row r="117" ht="15.75" customHeight="1">
      <c r="F117" s="20"/>
      <c r="G117" s="21"/>
      <c r="R117" s="9"/>
    </row>
    <row r="118" ht="15.75" customHeight="1">
      <c r="F118" s="20"/>
      <c r="G118" s="21"/>
      <c r="R118" s="9"/>
    </row>
    <row r="119" ht="15.75" customHeight="1">
      <c r="F119" s="20"/>
      <c r="G119" s="21"/>
      <c r="R119" s="9"/>
    </row>
    <row r="120" ht="15.75" customHeight="1">
      <c r="F120" s="20"/>
      <c r="G120" s="21"/>
      <c r="R120" s="9"/>
    </row>
    <row r="121" ht="15.75" customHeight="1">
      <c r="F121" s="20"/>
      <c r="G121" s="21"/>
      <c r="R121" s="9"/>
    </row>
    <row r="122" ht="15.75" customHeight="1">
      <c r="F122" s="20"/>
      <c r="G122" s="21"/>
      <c r="R122" s="9"/>
    </row>
    <row r="123" ht="15.75" customHeight="1">
      <c r="F123" s="20"/>
      <c r="G123" s="21"/>
      <c r="R123" s="9"/>
    </row>
    <row r="124" ht="15.75" customHeight="1">
      <c r="F124" s="20"/>
      <c r="G124" s="21"/>
      <c r="R124" s="9"/>
    </row>
    <row r="125" ht="15.75" customHeight="1">
      <c r="F125" s="20"/>
      <c r="G125" s="21"/>
      <c r="R125" s="9"/>
    </row>
    <row r="126" ht="15.75" customHeight="1">
      <c r="F126" s="20"/>
      <c r="G126" s="21"/>
      <c r="R126" s="9"/>
    </row>
    <row r="127" ht="15.75" customHeight="1">
      <c r="F127" s="20"/>
      <c r="G127" s="21"/>
      <c r="R127" s="9"/>
    </row>
    <row r="128" ht="15.75" customHeight="1">
      <c r="F128" s="20"/>
      <c r="G128" s="21"/>
      <c r="R128" s="9"/>
    </row>
    <row r="129" ht="15.75" customHeight="1">
      <c r="F129" s="20"/>
      <c r="G129" s="21"/>
      <c r="R129" s="9"/>
    </row>
    <row r="130" ht="15.75" customHeight="1">
      <c r="F130" s="20"/>
      <c r="G130" s="21"/>
      <c r="R130" s="9"/>
    </row>
    <row r="131" ht="15.75" customHeight="1">
      <c r="F131" s="20"/>
      <c r="G131" s="21"/>
      <c r="R131" s="9"/>
    </row>
    <row r="132" ht="15.75" customHeight="1">
      <c r="F132" s="20"/>
      <c r="G132" s="21"/>
      <c r="R132" s="9"/>
    </row>
    <row r="133" ht="15.75" customHeight="1">
      <c r="F133" s="20"/>
      <c r="G133" s="21"/>
      <c r="R133" s="9"/>
    </row>
    <row r="134" ht="15.75" customHeight="1">
      <c r="F134" s="20"/>
      <c r="G134" s="21"/>
      <c r="R134" s="9"/>
    </row>
    <row r="135" ht="15.75" customHeight="1">
      <c r="F135" s="20"/>
      <c r="G135" s="21"/>
      <c r="R135" s="9"/>
    </row>
    <row r="136" ht="15.75" customHeight="1">
      <c r="F136" s="20"/>
      <c r="G136" s="21"/>
      <c r="R136" s="9"/>
    </row>
    <row r="137" ht="15.75" customHeight="1">
      <c r="F137" s="20"/>
      <c r="G137" s="21"/>
      <c r="R137" s="9"/>
    </row>
    <row r="138" ht="15.75" customHeight="1">
      <c r="F138" s="20"/>
      <c r="G138" s="21"/>
      <c r="R138" s="9"/>
    </row>
    <row r="139" ht="15.75" customHeight="1">
      <c r="F139" s="20"/>
      <c r="G139" s="21"/>
      <c r="R139" s="9"/>
    </row>
    <row r="140" ht="15.75" customHeight="1">
      <c r="F140" s="20"/>
      <c r="G140" s="21"/>
      <c r="R140" s="9"/>
    </row>
    <row r="141" ht="15.75" customHeight="1">
      <c r="F141" s="20"/>
      <c r="G141" s="21"/>
      <c r="R141" s="9"/>
    </row>
    <row r="142" ht="15.75" customHeight="1">
      <c r="F142" s="20"/>
      <c r="G142" s="21"/>
      <c r="R142" s="9"/>
    </row>
    <row r="143" ht="15.75" customHeight="1">
      <c r="F143" s="20"/>
      <c r="G143" s="21"/>
      <c r="R143" s="9"/>
    </row>
    <row r="144" ht="15.75" customHeight="1">
      <c r="F144" s="20"/>
      <c r="G144" s="21"/>
      <c r="R144" s="9"/>
    </row>
    <row r="145" ht="15.75" customHeight="1">
      <c r="F145" s="20"/>
      <c r="G145" s="21"/>
      <c r="R145" s="9"/>
    </row>
    <row r="146" ht="15.75" customHeight="1">
      <c r="F146" s="20"/>
      <c r="G146" s="21"/>
      <c r="R146" s="9"/>
    </row>
    <row r="147" ht="15.75" customHeight="1">
      <c r="F147" s="20"/>
      <c r="G147" s="21"/>
      <c r="R147" s="9"/>
    </row>
    <row r="148" ht="15.75" customHeight="1">
      <c r="F148" s="20"/>
      <c r="G148" s="21"/>
      <c r="R148" s="9"/>
    </row>
    <row r="149" ht="15.75" customHeight="1">
      <c r="F149" s="20"/>
      <c r="G149" s="21"/>
      <c r="R149" s="9"/>
    </row>
    <row r="150" ht="15.75" customHeight="1">
      <c r="F150" s="20"/>
      <c r="G150" s="21"/>
      <c r="R150" s="9"/>
    </row>
    <row r="151" ht="15.75" customHeight="1">
      <c r="F151" s="20"/>
      <c r="G151" s="21"/>
      <c r="R151" s="9"/>
    </row>
    <row r="152" ht="15.75" customHeight="1">
      <c r="F152" s="20"/>
      <c r="G152" s="21"/>
      <c r="R152" s="9"/>
    </row>
    <row r="153" ht="15.75" customHeight="1">
      <c r="F153" s="20"/>
      <c r="G153" s="21"/>
      <c r="R153" s="9"/>
    </row>
    <row r="154" ht="15.75" customHeight="1">
      <c r="F154" s="20"/>
      <c r="G154" s="21"/>
      <c r="R154" s="9"/>
    </row>
    <row r="155" ht="15.75" customHeight="1">
      <c r="F155" s="20"/>
      <c r="G155" s="21"/>
      <c r="R155" s="9"/>
    </row>
    <row r="156" ht="15.75" customHeight="1">
      <c r="F156" s="20"/>
      <c r="G156" s="21"/>
      <c r="R156" s="9"/>
    </row>
    <row r="157" ht="15.75" customHeight="1">
      <c r="F157" s="20"/>
      <c r="G157" s="21"/>
      <c r="R157" s="9"/>
    </row>
    <row r="158" ht="15.75" customHeight="1">
      <c r="F158" s="20"/>
      <c r="G158" s="21"/>
      <c r="R158" s="9"/>
    </row>
    <row r="159" ht="15.75" customHeight="1">
      <c r="F159" s="20"/>
      <c r="G159" s="21"/>
      <c r="R159" s="9"/>
    </row>
    <row r="160" ht="15.75" customHeight="1">
      <c r="F160" s="20"/>
      <c r="G160" s="21"/>
      <c r="R160" s="9"/>
    </row>
    <row r="161" ht="15.75" customHeight="1">
      <c r="F161" s="20"/>
      <c r="G161" s="21"/>
      <c r="R161" s="9"/>
    </row>
    <row r="162" ht="15.75" customHeight="1">
      <c r="F162" s="20"/>
      <c r="G162" s="21"/>
      <c r="R162" s="9"/>
    </row>
    <row r="163" ht="15.75" customHeight="1">
      <c r="F163" s="20"/>
      <c r="G163" s="21"/>
      <c r="R163" s="9"/>
    </row>
    <row r="164" ht="15.75" customHeight="1">
      <c r="F164" s="20"/>
      <c r="G164" s="21"/>
      <c r="R164" s="9"/>
    </row>
    <row r="165" ht="15.75" customHeight="1">
      <c r="F165" s="20"/>
      <c r="G165" s="21"/>
      <c r="R165" s="9"/>
    </row>
    <row r="166" ht="15.75" customHeight="1">
      <c r="F166" s="20"/>
      <c r="G166" s="21"/>
      <c r="R166" s="9"/>
    </row>
    <row r="167" ht="15.75" customHeight="1">
      <c r="F167" s="20"/>
      <c r="G167" s="21"/>
      <c r="R167" s="9"/>
    </row>
    <row r="168" ht="15.75" customHeight="1">
      <c r="F168" s="20"/>
      <c r="G168" s="21"/>
      <c r="R168" s="9"/>
    </row>
    <row r="169" ht="15.75" customHeight="1">
      <c r="F169" s="20"/>
      <c r="G169" s="21"/>
      <c r="R169" s="9"/>
    </row>
    <row r="170" ht="15.75" customHeight="1">
      <c r="F170" s="20"/>
      <c r="G170" s="21"/>
      <c r="R170" s="9"/>
    </row>
    <row r="171" ht="15.75" customHeight="1">
      <c r="F171" s="20"/>
      <c r="G171" s="21"/>
      <c r="R171" s="9"/>
    </row>
    <row r="172" ht="15.75" customHeight="1">
      <c r="F172" s="20"/>
      <c r="G172" s="21"/>
      <c r="R172" s="9"/>
    </row>
    <row r="173" ht="15.75" customHeight="1">
      <c r="F173" s="20"/>
      <c r="G173" s="21"/>
      <c r="R173" s="9"/>
    </row>
    <row r="174" ht="15.75" customHeight="1">
      <c r="F174" s="20"/>
      <c r="G174" s="21"/>
      <c r="R174" s="9"/>
    </row>
    <row r="175" ht="15.75" customHeight="1">
      <c r="F175" s="20"/>
      <c r="G175" s="21"/>
      <c r="R175" s="9"/>
    </row>
    <row r="176" ht="15.75" customHeight="1">
      <c r="F176" s="20"/>
      <c r="G176" s="21"/>
      <c r="R176" s="9"/>
    </row>
    <row r="177" ht="15.75" customHeight="1">
      <c r="F177" s="20"/>
      <c r="G177" s="21"/>
      <c r="R177" s="9"/>
    </row>
    <row r="178" ht="15.75" customHeight="1">
      <c r="F178" s="20"/>
      <c r="G178" s="21"/>
      <c r="R178" s="9"/>
    </row>
    <row r="179" ht="15.75" customHeight="1">
      <c r="F179" s="20"/>
      <c r="G179" s="21"/>
      <c r="R179" s="9"/>
    </row>
    <row r="180" ht="15.75" customHeight="1">
      <c r="F180" s="20"/>
      <c r="G180" s="21"/>
      <c r="R180" s="9"/>
    </row>
    <row r="181" ht="15.75" customHeight="1">
      <c r="F181" s="20"/>
      <c r="G181" s="21"/>
      <c r="R181" s="9"/>
    </row>
    <row r="182" ht="15.75" customHeight="1">
      <c r="F182" s="20"/>
      <c r="G182" s="21"/>
      <c r="R182" s="9"/>
    </row>
    <row r="183" ht="15.75" customHeight="1">
      <c r="F183" s="20"/>
      <c r="G183" s="21"/>
      <c r="R183" s="9"/>
    </row>
    <row r="184" ht="15.75" customHeight="1">
      <c r="F184" s="20"/>
      <c r="G184" s="21"/>
      <c r="R184" s="9"/>
    </row>
    <row r="185" ht="15.75" customHeight="1">
      <c r="F185" s="20"/>
      <c r="G185" s="21"/>
      <c r="R185" s="9"/>
    </row>
    <row r="186" ht="15.75" customHeight="1">
      <c r="F186" s="20"/>
      <c r="G186" s="21"/>
      <c r="R186" s="9"/>
    </row>
    <row r="187" ht="15.75" customHeight="1">
      <c r="F187" s="20"/>
      <c r="G187" s="21"/>
      <c r="R187" s="9"/>
    </row>
    <row r="188" ht="15.75" customHeight="1">
      <c r="F188" s="20"/>
      <c r="G188" s="21"/>
      <c r="R188" s="9"/>
    </row>
    <row r="189" ht="15.75" customHeight="1">
      <c r="F189" s="20"/>
      <c r="G189" s="21"/>
      <c r="R189" s="9"/>
    </row>
    <row r="190" ht="15.75" customHeight="1">
      <c r="F190" s="20"/>
      <c r="G190" s="21"/>
      <c r="R190" s="9"/>
    </row>
    <row r="191" ht="15.75" customHeight="1">
      <c r="F191" s="20"/>
      <c r="G191" s="21"/>
      <c r="R191" s="9"/>
    </row>
    <row r="192" ht="15.75" customHeight="1">
      <c r="F192" s="20"/>
      <c r="G192" s="21"/>
      <c r="R192" s="9"/>
    </row>
    <row r="193" ht="15.75" customHeight="1">
      <c r="F193" s="20"/>
      <c r="G193" s="21"/>
      <c r="R193" s="9"/>
    </row>
    <row r="194" ht="15.75" customHeight="1">
      <c r="F194" s="20"/>
      <c r="G194" s="21"/>
      <c r="R194" s="9"/>
    </row>
    <row r="195" ht="15.75" customHeight="1">
      <c r="F195" s="20"/>
      <c r="G195" s="21"/>
      <c r="R195" s="9"/>
    </row>
    <row r="196" ht="15.75" customHeight="1">
      <c r="F196" s="20"/>
      <c r="G196" s="21"/>
      <c r="R196" s="9"/>
    </row>
    <row r="197" ht="15.75" customHeight="1">
      <c r="F197" s="20"/>
      <c r="G197" s="21"/>
      <c r="R197" s="9"/>
    </row>
    <row r="198" ht="15.75" customHeight="1">
      <c r="F198" s="20"/>
      <c r="G198" s="21"/>
      <c r="R198" s="9"/>
    </row>
    <row r="199" ht="15.75" customHeight="1">
      <c r="F199" s="20"/>
      <c r="G199" s="21"/>
      <c r="R199" s="9"/>
    </row>
    <row r="200" ht="15.75" customHeight="1">
      <c r="F200" s="20"/>
      <c r="G200" s="21"/>
      <c r="R200" s="9"/>
    </row>
    <row r="201" ht="15.75" customHeight="1">
      <c r="F201" s="20"/>
      <c r="G201" s="21"/>
      <c r="R201" s="9"/>
    </row>
    <row r="202" ht="15.75" customHeight="1">
      <c r="F202" s="20"/>
      <c r="G202" s="21"/>
      <c r="R202" s="9"/>
    </row>
    <row r="203" ht="15.75" customHeight="1">
      <c r="F203" s="20"/>
      <c r="G203" s="21"/>
      <c r="R203" s="9"/>
    </row>
    <row r="204" ht="15.75" customHeight="1">
      <c r="F204" s="20"/>
      <c r="G204" s="21"/>
      <c r="R204" s="9"/>
    </row>
    <row r="205" ht="15.75" customHeight="1">
      <c r="F205" s="20"/>
      <c r="G205" s="21"/>
      <c r="R205" s="9"/>
    </row>
    <row r="206" ht="15.75" customHeight="1">
      <c r="F206" s="20"/>
      <c r="G206" s="21"/>
      <c r="R206" s="9"/>
    </row>
    <row r="207" ht="15.75" customHeight="1">
      <c r="F207" s="20"/>
      <c r="G207" s="21"/>
      <c r="R207" s="9"/>
    </row>
    <row r="208" ht="15.75" customHeight="1">
      <c r="F208" s="20"/>
      <c r="G208" s="21"/>
      <c r="R208" s="9"/>
    </row>
    <row r="209" ht="15.75" customHeight="1">
      <c r="F209" s="20"/>
      <c r="G209" s="21"/>
      <c r="R209" s="9"/>
    </row>
    <row r="210" ht="15.75" customHeight="1">
      <c r="F210" s="20"/>
      <c r="G210" s="21"/>
      <c r="R210" s="9"/>
    </row>
    <row r="211" ht="15.75" customHeight="1">
      <c r="F211" s="20"/>
      <c r="G211" s="21"/>
      <c r="R211" s="9"/>
    </row>
    <row r="212" ht="15.75" customHeight="1">
      <c r="F212" s="20"/>
      <c r="G212" s="21"/>
      <c r="R212" s="9"/>
    </row>
    <row r="213" ht="15.75" customHeight="1">
      <c r="F213" s="20"/>
      <c r="G213" s="21"/>
      <c r="R213" s="9"/>
    </row>
    <row r="214" ht="15.75" customHeight="1">
      <c r="F214" s="20"/>
      <c r="G214" s="21"/>
      <c r="R214" s="9"/>
    </row>
    <row r="215" ht="15.75" customHeight="1">
      <c r="F215" s="20"/>
      <c r="G215" s="21"/>
      <c r="R215" s="9"/>
    </row>
    <row r="216" ht="15.75" customHeight="1">
      <c r="F216" s="20"/>
      <c r="G216" s="21"/>
      <c r="R216" s="9"/>
    </row>
    <row r="217" ht="15.75" customHeight="1">
      <c r="F217" s="20"/>
      <c r="G217" s="21"/>
      <c r="R217" s="9"/>
    </row>
    <row r="218" ht="15.75" customHeight="1">
      <c r="F218" s="20"/>
      <c r="G218" s="21"/>
      <c r="R218" s="9"/>
    </row>
    <row r="219" ht="15.75" customHeight="1">
      <c r="F219" s="20"/>
      <c r="G219" s="21"/>
      <c r="R219" s="9"/>
    </row>
    <row r="220" ht="15.75" customHeight="1">
      <c r="F220" s="20"/>
      <c r="G220" s="21"/>
      <c r="R220" s="9"/>
    </row>
    <row r="221" ht="15.75" customHeight="1">
      <c r="F221" s="20"/>
      <c r="G221" s="21"/>
      <c r="R221" s="9"/>
    </row>
    <row r="222" ht="15.75" customHeight="1">
      <c r="F222" s="20"/>
      <c r="G222" s="21"/>
      <c r="R222" s="9"/>
    </row>
    <row r="223" ht="15.75" customHeight="1">
      <c r="F223" s="20"/>
      <c r="G223" s="21"/>
      <c r="R223" s="9"/>
    </row>
    <row r="224" ht="15.75" customHeight="1">
      <c r="F224" s="20"/>
      <c r="G224" s="21"/>
      <c r="R224" s="9"/>
    </row>
    <row r="225" ht="15.75" customHeight="1">
      <c r="F225" s="20"/>
      <c r="G225" s="21"/>
      <c r="R225" s="9"/>
    </row>
    <row r="226" ht="15.75" customHeight="1">
      <c r="F226" s="20"/>
      <c r="G226" s="21"/>
      <c r="R226" s="9"/>
    </row>
    <row r="227" ht="15.75" customHeight="1">
      <c r="F227" s="20"/>
      <c r="G227" s="21"/>
      <c r="R227" s="9"/>
    </row>
    <row r="228" ht="15.75" customHeight="1">
      <c r="F228" s="20"/>
      <c r="G228" s="21"/>
      <c r="R228" s="9"/>
    </row>
    <row r="229" ht="15.75" customHeight="1">
      <c r="F229" s="20"/>
      <c r="G229" s="21"/>
      <c r="R229" s="9"/>
    </row>
    <row r="230" ht="15.75" customHeight="1">
      <c r="F230" s="20"/>
      <c r="G230" s="21"/>
      <c r="R230" s="9"/>
    </row>
    <row r="231" ht="15.75" customHeight="1">
      <c r="F231" s="20"/>
      <c r="G231" s="21"/>
      <c r="R231" s="9"/>
    </row>
    <row r="232" ht="15.75" customHeight="1">
      <c r="F232" s="20"/>
      <c r="G232" s="21"/>
      <c r="R232" s="9"/>
    </row>
    <row r="233" ht="15.75" customHeight="1">
      <c r="F233" s="20"/>
      <c r="G233" s="21"/>
      <c r="R233" s="9"/>
    </row>
    <row r="234" ht="15.75" customHeight="1">
      <c r="F234" s="20"/>
      <c r="G234" s="21"/>
      <c r="R234" s="9"/>
    </row>
    <row r="235" ht="15.75" customHeight="1">
      <c r="F235" s="20"/>
      <c r="G235" s="21"/>
      <c r="R235" s="9"/>
    </row>
    <row r="236" ht="15.75" customHeight="1">
      <c r="F236" s="20"/>
      <c r="G236" s="21"/>
      <c r="R236" s="9"/>
    </row>
    <row r="237" ht="15.75" customHeight="1">
      <c r="F237" s="20"/>
      <c r="G237" s="21"/>
      <c r="R237" s="9"/>
    </row>
    <row r="238" ht="15.75" customHeight="1">
      <c r="F238" s="20"/>
      <c r="G238" s="21"/>
      <c r="R238" s="9"/>
    </row>
    <row r="239" ht="15.75" customHeight="1">
      <c r="F239" s="20"/>
      <c r="G239" s="21"/>
      <c r="R239" s="9"/>
    </row>
    <row r="240" ht="15.75" customHeight="1">
      <c r="F240" s="20"/>
      <c r="G240" s="21"/>
      <c r="R240" s="9"/>
    </row>
    <row r="241" ht="15.75" customHeight="1">
      <c r="F241" s="20"/>
      <c r="G241" s="21"/>
      <c r="R241" s="9"/>
    </row>
    <row r="242" ht="15.75" customHeight="1">
      <c r="F242" s="20"/>
      <c r="G242" s="21"/>
      <c r="R242" s="9"/>
    </row>
    <row r="243" ht="15.75" customHeight="1">
      <c r="F243" s="20"/>
      <c r="G243" s="21"/>
      <c r="R243" s="9"/>
    </row>
    <row r="244" ht="15.75" customHeight="1">
      <c r="F244" s="20"/>
      <c r="G244" s="21"/>
      <c r="R244" s="9"/>
    </row>
    <row r="245" ht="15.75" customHeight="1">
      <c r="F245" s="20"/>
      <c r="G245" s="21"/>
      <c r="R245" s="9"/>
    </row>
    <row r="246" ht="15.75" customHeight="1">
      <c r="F246" s="20"/>
      <c r="G246" s="21"/>
      <c r="R246" s="9"/>
    </row>
    <row r="247" ht="15.75" customHeight="1">
      <c r="F247" s="20"/>
      <c r="G247" s="21"/>
      <c r="R247" s="9"/>
    </row>
    <row r="248" ht="15.75" customHeight="1">
      <c r="F248" s="20"/>
      <c r="G248" s="21"/>
      <c r="R248" s="9"/>
    </row>
    <row r="249" ht="15.75" customHeight="1">
      <c r="F249" s="20"/>
      <c r="G249" s="21"/>
      <c r="R249" s="9"/>
    </row>
    <row r="250" ht="15.75" customHeight="1">
      <c r="F250" s="20"/>
      <c r="G250" s="21"/>
      <c r="R250" s="9"/>
    </row>
    <row r="251" ht="15.75" customHeight="1">
      <c r="F251" s="20"/>
      <c r="G251" s="21"/>
      <c r="R251" s="9"/>
    </row>
    <row r="252" ht="15.75" customHeight="1">
      <c r="F252" s="20"/>
      <c r="G252" s="21"/>
      <c r="R252" s="9"/>
    </row>
    <row r="253" ht="15.75" customHeight="1">
      <c r="F253" s="20"/>
      <c r="G253" s="21"/>
      <c r="R253" s="9"/>
    </row>
    <row r="254" ht="15.75" customHeight="1">
      <c r="F254" s="20"/>
      <c r="G254" s="21"/>
      <c r="R254" s="9"/>
    </row>
    <row r="255" ht="15.75" customHeight="1">
      <c r="F255" s="20"/>
      <c r="G255" s="21"/>
      <c r="R255" s="9"/>
    </row>
    <row r="256" ht="15.75" customHeight="1">
      <c r="F256" s="20"/>
      <c r="G256" s="21"/>
      <c r="R256" s="9"/>
    </row>
    <row r="257" ht="15.75" customHeight="1">
      <c r="F257" s="20"/>
      <c r="G257" s="21"/>
      <c r="R257" s="9"/>
    </row>
    <row r="258" ht="15.75" customHeight="1">
      <c r="F258" s="20"/>
      <c r="G258" s="21"/>
      <c r="R258" s="9"/>
    </row>
    <row r="259" ht="15.75" customHeight="1">
      <c r="F259" s="20"/>
      <c r="G259" s="21"/>
      <c r="R259" s="9"/>
    </row>
    <row r="260" ht="15.75" customHeight="1">
      <c r="F260" s="20"/>
      <c r="G260" s="21"/>
      <c r="R260" s="9"/>
    </row>
    <row r="261" ht="15.75" customHeight="1">
      <c r="F261" s="20"/>
      <c r="G261" s="21"/>
      <c r="R261" s="9"/>
    </row>
    <row r="262" ht="15.75" customHeight="1">
      <c r="F262" s="20"/>
      <c r="G262" s="21"/>
      <c r="R262" s="9"/>
    </row>
    <row r="263" ht="15.75" customHeight="1">
      <c r="F263" s="20"/>
      <c r="G263" s="21"/>
      <c r="R263" s="9"/>
    </row>
    <row r="264" ht="15.75" customHeight="1">
      <c r="F264" s="20"/>
      <c r="G264" s="21"/>
      <c r="R264" s="9"/>
    </row>
    <row r="265" ht="15.75" customHeight="1">
      <c r="F265" s="20"/>
      <c r="G265" s="21"/>
      <c r="R265" s="9"/>
    </row>
    <row r="266" ht="15.75" customHeight="1">
      <c r="F266" s="20"/>
      <c r="G266" s="21"/>
      <c r="R266" s="9"/>
    </row>
    <row r="267" ht="15.75" customHeight="1">
      <c r="F267" s="20"/>
      <c r="G267" s="21"/>
      <c r="R267" s="9"/>
    </row>
    <row r="268" ht="15.75" customHeight="1">
      <c r="F268" s="20"/>
      <c r="G268" s="21"/>
      <c r="R268" s="9"/>
    </row>
    <row r="269" ht="15.75" customHeight="1">
      <c r="F269" s="20"/>
      <c r="G269" s="21"/>
      <c r="R269" s="9"/>
    </row>
    <row r="270" ht="15.75" customHeight="1">
      <c r="F270" s="20"/>
      <c r="G270" s="21"/>
      <c r="R270" s="9"/>
    </row>
    <row r="271" ht="15.75" customHeight="1">
      <c r="F271" s="20"/>
      <c r="G271" s="21"/>
      <c r="R271" s="9"/>
    </row>
    <row r="272" ht="15.75" customHeight="1">
      <c r="F272" s="20"/>
      <c r="G272" s="21"/>
      <c r="R272" s="9"/>
    </row>
    <row r="273" ht="15.75" customHeight="1">
      <c r="F273" s="20"/>
      <c r="G273" s="21"/>
      <c r="R273" s="9"/>
    </row>
    <row r="274" ht="15.75" customHeight="1">
      <c r="F274" s="20"/>
      <c r="G274" s="21"/>
      <c r="R274" s="9"/>
    </row>
    <row r="275" ht="15.75" customHeight="1">
      <c r="F275" s="20"/>
      <c r="G275" s="21"/>
      <c r="R275" s="9"/>
    </row>
    <row r="276" ht="15.75" customHeight="1">
      <c r="F276" s="20"/>
      <c r="G276" s="21"/>
      <c r="R276" s="9"/>
    </row>
    <row r="277" ht="15.75" customHeight="1">
      <c r="F277" s="20"/>
      <c r="G277" s="21"/>
      <c r="R277" s="9"/>
    </row>
    <row r="278" ht="15.75" customHeight="1">
      <c r="F278" s="20"/>
      <c r="G278" s="21"/>
      <c r="R278" s="9"/>
    </row>
    <row r="279" ht="15.75" customHeight="1">
      <c r="F279" s="20"/>
      <c r="G279" s="21"/>
      <c r="R279" s="9"/>
    </row>
    <row r="280" ht="15.75" customHeight="1">
      <c r="F280" s="20"/>
      <c r="G280" s="21"/>
      <c r="R280" s="9"/>
    </row>
    <row r="281" ht="15.75" customHeight="1">
      <c r="F281" s="20"/>
      <c r="G281" s="21"/>
      <c r="R281" s="9"/>
    </row>
    <row r="282" ht="15.75" customHeight="1">
      <c r="F282" s="20"/>
      <c r="G282" s="21"/>
      <c r="R282" s="9"/>
    </row>
    <row r="283" ht="15.75" customHeight="1">
      <c r="F283" s="20"/>
      <c r="G283" s="21"/>
      <c r="R283" s="9"/>
    </row>
    <row r="284" ht="15.75" customHeight="1">
      <c r="F284" s="20"/>
      <c r="G284" s="21"/>
      <c r="R284" s="9"/>
    </row>
    <row r="285" ht="15.75" customHeight="1">
      <c r="F285" s="20"/>
      <c r="G285" s="21"/>
      <c r="R285" s="9"/>
    </row>
    <row r="286" ht="15.75" customHeight="1">
      <c r="F286" s="20"/>
      <c r="G286" s="21"/>
      <c r="R286" s="9"/>
    </row>
    <row r="287" ht="15.75" customHeight="1">
      <c r="F287" s="20"/>
      <c r="G287" s="21"/>
      <c r="R287" s="9"/>
    </row>
    <row r="288" ht="15.75" customHeight="1">
      <c r="F288" s="20"/>
      <c r="G288" s="21"/>
      <c r="R288" s="9"/>
    </row>
    <row r="289" ht="15.75" customHeight="1">
      <c r="F289" s="20"/>
      <c r="G289" s="21"/>
      <c r="R289" s="9"/>
    </row>
    <row r="290" ht="15.75" customHeight="1">
      <c r="F290" s="20"/>
      <c r="G290" s="21"/>
      <c r="R290" s="9"/>
    </row>
    <row r="291" ht="15.75" customHeight="1">
      <c r="F291" s="20"/>
      <c r="G291" s="21"/>
      <c r="R291" s="9"/>
    </row>
    <row r="292" ht="15.75" customHeight="1">
      <c r="F292" s="20"/>
      <c r="G292" s="21"/>
      <c r="R292" s="9"/>
    </row>
    <row r="293" ht="15.75" customHeight="1">
      <c r="F293" s="20"/>
      <c r="G293" s="21"/>
      <c r="R293" s="9"/>
    </row>
    <row r="294" ht="15.75" customHeight="1">
      <c r="F294" s="20"/>
      <c r="G294" s="21"/>
      <c r="R294" s="9"/>
    </row>
    <row r="295" ht="15.75" customHeight="1">
      <c r="F295" s="20"/>
      <c r="G295" s="21"/>
      <c r="R295" s="9"/>
    </row>
    <row r="296" ht="15.75" customHeight="1">
      <c r="F296" s="20"/>
      <c r="G296" s="21"/>
      <c r="R296" s="9"/>
    </row>
    <row r="297" ht="15.75" customHeight="1">
      <c r="F297" s="20"/>
      <c r="G297" s="21"/>
      <c r="R297" s="9"/>
    </row>
    <row r="298" ht="15.75" customHeight="1">
      <c r="F298" s="20"/>
      <c r="G298" s="21"/>
      <c r="R298" s="9"/>
    </row>
    <row r="299" ht="15.75" customHeight="1">
      <c r="F299" s="20"/>
      <c r="G299" s="21"/>
      <c r="R299" s="9"/>
    </row>
    <row r="300" ht="15.75" customHeight="1">
      <c r="F300" s="20"/>
      <c r="G300" s="21"/>
      <c r="R300" s="9"/>
    </row>
    <row r="301" ht="15.75" customHeight="1">
      <c r="F301" s="20"/>
      <c r="G301" s="21"/>
      <c r="R301" s="9"/>
    </row>
    <row r="302" ht="15.75" customHeight="1">
      <c r="F302" s="20"/>
      <c r="G302" s="21"/>
      <c r="R302" s="9"/>
    </row>
    <row r="303" ht="15.75" customHeight="1">
      <c r="F303" s="20"/>
      <c r="G303" s="21"/>
      <c r="R303" s="9"/>
    </row>
    <row r="304" ht="15.75" customHeight="1">
      <c r="F304" s="20"/>
      <c r="G304" s="21"/>
      <c r="R304" s="9"/>
    </row>
    <row r="305" ht="15.75" customHeight="1">
      <c r="F305" s="20"/>
      <c r="G305" s="21"/>
      <c r="R305" s="9"/>
    </row>
    <row r="306" ht="15.75" customHeight="1">
      <c r="F306" s="20"/>
      <c r="G306" s="21"/>
      <c r="R306" s="9"/>
    </row>
    <row r="307" ht="15.75" customHeight="1">
      <c r="F307" s="20"/>
      <c r="G307" s="21"/>
      <c r="R307" s="9"/>
    </row>
    <row r="308" ht="15.75" customHeight="1">
      <c r="F308" s="20"/>
      <c r="G308" s="21"/>
      <c r="R308" s="9"/>
    </row>
    <row r="309" ht="15.75" customHeight="1">
      <c r="F309" s="20"/>
      <c r="G309" s="21"/>
      <c r="R309" s="9"/>
    </row>
    <row r="310" ht="15.75" customHeight="1">
      <c r="F310" s="20"/>
      <c r="G310" s="21"/>
      <c r="R310" s="9"/>
    </row>
    <row r="311" ht="15.75" customHeight="1">
      <c r="F311" s="20"/>
      <c r="G311" s="21"/>
      <c r="R311" s="9"/>
    </row>
    <row r="312" ht="15.75" customHeight="1">
      <c r="F312" s="20"/>
      <c r="G312" s="21"/>
      <c r="R312" s="9"/>
    </row>
    <row r="313" ht="15.75" customHeight="1">
      <c r="F313" s="20"/>
      <c r="G313" s="21"/>
      <c r="R313" s="9"/>
    </row>
    <row r="314" ht="15.75" customHeight="1">
      <c r="F314" s="20"/>
      <c r="G314" s="21"/>
      <c r="R314" s="9"/>
    </row>
    <row r="315" ht="15.75" customHeight="1">
      <c r="F315" s="20"/>
      <c r="G315" s="21"/>
      <c r="R315" s="9"/>
    </row>
    <row r="316" ht="15.75" customHeight="1">
      <c r="F316" s="20"/>
      <c r="G316" s="21"/>
      <c r="R316" s="9"/>
    </row>
    <row r="317" ht="15.75" customHeight="1">
      <c r="F317" s="20"/>
      <c r="G317" s="21"/>
      <c r="R317" s="9"/>
    </row>
    <row r="318" ht="15.75" customHeight="1">
      <c r="F318" s="20"/>
      <c r="G318" s="21"/>
      <c r="R318" s="9"/>
    </row>
    <row r="319" ht="15.75" customHeight="1">
      <c r="F319" s="20"/>
      <c r="G319" s="21"/>
      <c r="R319" s="9"/>
    </row>
    <row r="320" ht="15.75" customHeight="1">
      <c r="F320" s="20"/>
      <c r="G320" s="21"/>
      <c r="R320" s="9"/>
    </row>
    <row r="321" ht="15.75" customHeight="1">
      <c r="F321" s="20"/>
      <c r="G321" s="21"/>
      <c r="R321" s="9"/>
    </row>
    <row r="322" ht="15.75" customHeight="1">
      <c r="F322" s="20"/>
      <c r="G322" s="21"/>
      <c r="R322" s="9"/>
    </row>
    <row r="323" ht="15.75" customHeight="1">
      <c r="F323" s="20"/>
      <c r="G323" s="21"/>
      <c r="R323" s="9"/>
    </row>
    <row r="324" ht="15.75" customHeight="1">
      <c r="F324" s="20"/>
      <c r="G324" s="21"/>
      <c r="R324" s="9"/>
    </row>
    <row r="325" ht="15.75" customHeight="1">
      <c r="F325" s="20"/>
      <c r="G325" s="21"/>
      <c r="R325" s="9"/>
    </row>
    <row r="326" ht="15.75" customHeight="1">
      <c r="F326" s="20"/>
      <c r="G326" s="21"/>
      <c r="R326" s="9"/>
    </row>
    <row r="327" ht="15.75" customHeight="1">
      <c r="F327" s="20"/>
      <c r="G327" s="21"/>
      <c r="R327" s="9"/>
    </row>
    <row r="328" ht="15.75" customHeight="1">
      <c r="F328" s="20"/>
      <c r="G328" s="21"/>
      <c r="R328" s="9"/>
    </row>
    <row r="329" ht="15.75" customHeight="1">
      <c r="F329" s="20"/>
      <c r="G329" s="21"/>
      <c r="R329" s="9"/>
    </row>
    <row r="330" ht="15.75" customHeight="1">
      <c r="F330" s="20"/>
      <c r="G330" s="21"/>
      <c r="R330" s="9"/>
    </row>
    <row r="331" ht="15.75" customHeight="1">
      <c r="F331" s="20"/>
      <c r="G331" s="21"/>
      <c r="R331" s="9"/>
    </row>
    <row r="332" ht="15.75" customHeight="1">
      <c r="F332" s="20"/>
      <c r="G332" s="21"/>
      <c r="R332" s="9"/>
    </row>
    <row r="333" ht="15.75" customHeight="1">
      <c r="F333" s="20"/>
      <c r="G333" s="21"/>
      <c r="R333" s="9"/>
    </row>
    <row r="334" ht="15.75" customHeight="1">
      <c r="F334" s="20"/>
      <c r="G334" s="21"/>
      <c r="R334" s="9"/>
    </row>
    <row r="335" ht="15.75" customHeight="1">
      <c r="F335" s="20"/>
      <c r="G335" s="21"/>
      <c r="R335" s="9"/>
    </row>
    <row r="336" ht="15.75" customHeight="1">
      <c r="F336" s="20"/>
      <c r="G336" s="21"/>
      <c r="R336" s="9"/>
    </row>
    <row r="337" ht="15.75" customHeight="1">
      <c r="F337" s="20"/>
      <c r="G337" s="21"/>
      <c r="R337" s="9"/>
    </row>
    <row r="338" ht="15.75" customHeight="1">
      <c r="F338" s="20"/>
      <c r="G338" s="21"/>
      <c r="R338" s="9"/>
    </row>
    <row r="339" ht="15.75" customHeight="1">
      <c r="F339" s="20"/>
      <c r="G339" s="21"/>
      <c r="R339" s="9"/>
    </row>
    <row r="340" ht="15.75" customHeight="1">
      <c r="F340" s="20"/>
      <c r="G340" s="21"/>
      <c r="R340" s="9"/>
    </row>
    <row r="341" ht="15.75" customHeight="1">
      <c r="F341" s="20"/>
      <c r="G341" s="21"/>
      <c r="R341" s="9"/>
    </row>
    <row r="342" ht="15.75" customHeight="1">
      <c r="F342" s="20"/>
      <c r="G342" s="21"/>
      <c r="R342" s="9"/>
    </row>
    <row r="343" ht="15.75" customHeight="1">
      <c r="F343" s="20"/>
      <c r="G343" s="21"/>
      <c r="R343" s="9"/>
    </row>
    <row r="344" ht="15.75" customHeight="1">
      <c r="F344" s="20"/>
      <c r="G344" s="21"/>
      <c r="R344" s="9"/>
    </row>
    <row r="345" ht="15.75" customHeight="1">
      <c r="F345" s="20"/>
      <c r="G345" s="21"/>
      <c r="R345" s="9"/>
    </row>
    <row r="346" ht="15.75" customHeight="1">
      <c r="F346" s="20"/>
      <c r="G346" s="21"/>
      <c r="R346" s="9"/>
    </row>
    <row r="347" ht="15.75" customHeight="1">
      <c r="F347" s="20"/>
      <c r="G347" s="21"/>
      <c r="R347" s="9"/>
    </row>
    <row r="348" ht="15.75" customHeight="1">
      <c r="F348" s="20"/>
      <c r="G348" s="21"/>
      <c r="R348" s="9"/>
    </row>
    <row r="349" ht="15.75" customHeight="1">
      <c r="F349" s="20"/>
      <c r="G349" s="21"/>
      <c r="R349" s="9"/>
    </row>
    <row r="350" ht="15.75" customHeight="1">
      <c r="F350" s="20"/>
      <c r="G350" s="21"/>
      <c r="R350" s="9"/>
    </row>
    <row r="351" ht="15.75" customHeight="1">
      <c r="F351" s="20"/>
      <c r="G351" s="21"/>
      <c r="R351" s="9"/>
    </row>
    <row r="352" ht="15.75" customHeight="1">
      <c r="F352" s="20"/>
      <c r="G352" s="21"/>
      <c r="R352" s="9"/>
    </row>
    <row r="353" ht="15.75" customHeight="1">
      <c r="F353" s="20"/>
      <c r="G353" s="21"/>
      <c r="R353" s="9"/>
    </row>
    <row r="354" ht="15.75" customHeight="1">
      <c r="F354" s="20"/>
      <c r="G354" s="21"/>
      <c r="R354" s="9"/>
    </row>
    <row r="355" ht="15.75" customHeight="1">
      <c r="F355" s="20"/>
      <c r="G355" s="21"/>
      <c r="R355" s="9"/>
    </row>
    <row r="356" ht="15.75" customHeight="1">
      <c r="F356" s="20"/>
      <c r="G356" s="21"/>
      <c r="R356" s="9"/>
    </row>
    <row r="357" ht="15.75" customHeight="1">
      <c r="F357" s="20"/>
      <c r="G357" s="21"/>
      <c r="R357" s="9"/>
    </row>
    <row r="358" ht="15.75" customHeight="1">
      <c r="F358" s="20"/>
      <c r="G358" s="21"/>
      <c r="R358" s="9"/>
    </row>
    <row r="359" ht="15.75" customHeight="1">
      <c r="F359" s="20"/>
      <c r="G359" s="21"/>
      <c r="R359" s="9"/>
    </row>
    <row r="360" ht="15.75" customHeight="1">
      <c r="F360" s="20"/>
      <c r="G360" s="21"/>
      <c r="R360" s="9"/>
    </row>
    <row r="361" ht="15.75" customHeight="1">
      <c r="F361" s="20"/>
      <c r="G361" s="21"/>
      <c r="R361" s="9"/>
    </row>
    <row r="362" ht="15.75" customHeight="1">
      <c r="F362" s="20"/>
      <c r="G362" s="21"/>
      <c r="R362" s="9"/>
    </row>
    <row r="363" ht="15.75" customHeight="1">
      <c r="F363" s="20"/>
      <c r="G363" s="21"/>
      <c r="R363" s="9"/>
    </row>
    <row r="364" ht="15.75" customHeight="1">
      <c r="F364" s="20"/>
      <c r="G364" s="21"/>
      <c r="R364" s="9"/>
    </row>
    <row r="365" ht="15.75" customHeight="1">
      <c r="F365" s="20"/>
      <c r="G365" s="21"/>
      <c r="R365" s="9"/>
    </row>
    <row r="366" ht="15.75" customHeight="1">
      <c r="F366" s="20"/>
      <c r="G366" s="21"/>
      <c r="R366" s="9"/>
    </row>
    <row r="367" ht="15.75" customHeight="1">
      <c r="F367" s="20"/>
      <c r="G367" s="21"/>
      <c r="R367" s="9"/>
    </row>
    <row r="368" ht="15.75" customHeight="1">
      <c r="F368" s="20"/>
      <c r="G368" s="21"/>
      <c r="R368" s="9"/>
    </row>
    <row r="369" ht="15.75" customHeight="1">
      <c r="F369" s="20"/>
      <c r="G369" s="21"/>
      <c r="R369" s="9"/>
    </row>
    <row r="370" ht="15.75" customHeight="1">
      <c r="F370" s="20"/>
      <c r="G370" s="21"/>
      <c r="R370" s="9"/>
    </row>
    <row r="371" ht="15.75" customHeight="1">
      <c r="F371" s="20"/>
      <c r="G371" s="21"/>
      <c r="R371" s="9"/>
    </row>
    <row r="372" ht="15.75" customHeight="1">
      <c r="F372" s="20"/>
      <c r="G372" s="21"/>
      <c r="R372" s="9"/>
    </row>
    <row r="373" ht="15.75" customHeight="1">
      <c r="F373" s="20"/>
      <c r="G373" s="21"/>
      <c r="R373" s="9"/>
    </row>
    <row r="374" ht="15.75" customHeight="1">
      <c r="F374" s="20"/>
      <c r="G374" s="21"/>
      <c r="R374" s="9"/>
    </row>
    <row r="375" ht="15.75" customHeight="1">
      <c r="F375" s="20"/>
      <c r="G375" s="21"/>
      <c r="R375" s="9"/>
    </row>
    <row r="376" ht="15.75" customHeight="1">
      <c r="F376" s="20"/>
      <c r="G376" s="21"/>
      <c r="R376" s="9"/>
    </row>
    <row r="377" ht="15.75" customHeight="1">
      <c r="F377" s="20"/>
      <c r="G377" s="21"/>
      <c r="R377" s="9"/>
    </row>
    <row r="378" ht="15.75" customHeight="1">
      <c r="F378" s="20"/>
      <c r="G378" s="21"/>
      <c r="R378" s="9"/>
    </row>
    <row r="379" ht="15.75" customHeight="1">
      <c r="F379" s="20"/>
      <c r="G379" s="21"/>
      <c r="R379" s="9"/>
    </row>
    <row r="380" ht="15.75" customHeight="1">
      <c r="F380" s="20"/>
      <c r="G380" s="21"/>
      <c r="R380" s="9"/>
    </row>
    <row r="381" ht="15.75" customHeight="1">
      <c r="F381" s="20"/>
      <c r="G381" s="21"/>
      <c r="R381" s="9"/>
    </row>
    <row r="382" ht="15.75" customHeight="1">
      <c r="F382" s="20"/>
      <c r="G382" s="21"/>
      <c r="R382" s="9"/>
    </row>
    <row r="383" ht="15.75" customHeight="1">
      <c r="F383" s="20"/>
      <c r="G383" s="21"/>
      <c r="R383" s="9"/>
    </row>
    <row r="384" ht="15.75" customHeight="1">
      <c r="F384" s="20"/>
      <c r="G384" s="21"/>
      <c r="R384" s="9"/>
    </row>
    <row r="385" ht="15.75" customHeight="1">
      <c r="F385" s="20"/>
      <c r="G385" s="21"/>
      <c r="R385" s="9"/>
    </row>
    <row r="386" ht="15.75" customHeight="1">
      <c r="F386" s="20"/>
      <c r="G386" s="21"/>
      <c r="R386" s="9"/>
    </row>
    <row r="387" ht="15.75" customHeight="1">
      <c r="F387" s="20"/>
      <c r="G387" s="21"/>
      <c r="R387" s="9"/>
    </row>
    <row r="388" ht="15.75" customHeight="1">
      <c r="F388" s="20"/>
      <c r="G388" s="21"/>
      <c r="R388" s="9"/>
    </row>
    <row r="389" ht="15.75" customHeight="1">
      <c r="F389" s="20"/>
      <c r="G389" s="21"/>
      <c r="R389" s="9"/>
    </row>
    <row r="390" ht="15.75" customHeight="1">
      <c r="F390" s="20"/>
      <c r="G390" s="21"/>
      <c r="R390" s="9"/>
    </row>
    <row r="391" ht="15.75" customHeight="1">
      <c r="F391" s="20"/>
      <c r="G391" s="21"/>
      <c r="R391" s="9"/>
    </row>
    <row r="392" ht="15.75" customHeight="1">
      <c r="F392" s="20"/>
      <c r="G392" s="21"/>
      <c r="R392" s="9"/>
    </row>
    <row r="393" ht="15.75" customHeight="1">
      <c r="F393" s="20"/>
      <c r="G393" s="21"/>
      <c r="R393" s="9"/>
    </row>
    <row r="394" ht="15.75" customHeight="1">
      <c r="F394" s="20"/>
      <c r="G394" s="21"/>
      <c r="R394" s="9"/>
    </row>
    <row r="395" ht="15.75" customHeight="1">
      <c r="F395" s="20"/>
      <c r="G395" s="21"/>
      <c r="R395" s="9"/>
    </row>
    <row r="396" ht="15.75" customHeight="1">
      <c r="F396" s="20"/>
      <c r="G396" s="21"/>
      <c r="R396" s="9"/>
    </row>
    <row r="397" ht="15.75" customHeight="1">
      <c r="F397" s="20"/>
      <c r="G397" s="21"/>
      <c r="R397" s="9"/>
    </row>
    <row r="398" ht="15.75" customHeight="1">
      <c r="F398" s="20"/>
      <c r="G398" s="21"/>
      <c r="R398" s="9"/>
    </row>
    <row r="399" ht="15.75" customHeight="1">
      <c r="F399" s="20"/>
      <c r="G399" s="21"/>
      <c r="R399" s="9"/>
    </row>
    <row r="400" ht="15.75" customHeight="1">
      <c r="F400" s="20"/>
      <c r="G400" s="21"/>
      <c r="R400" s="9"/>
    </row>
    <row r="401" ht="15.75" customHeight="1">
      <c r="F401" s="20"/>
      <c r="G401" s="21"/>
      <c r="R401" s="9"/>
    </row>
    <row r="402" ht="15.75" customHeight="1">
      <c r="F402" s="20"/>
      <c r="G402" s="21"/>
      <c r="R402" s="9"/>
    </row>
    <row r="403" ht="15.75" customHeight="1">
      <c r="F403" s="20"/>
      <c r="G403" s="21"/>
      <c r="R403" s="9"/>
    </row>
    <row r="404" ht="15.75" customHeight="1">
      <c r="F404" s="20"/>
      <c r="G404" s="21"/>
      <c r="R404" s="9"/>
    </row>
    <row r="405" ht="15.75" customHeight="1">
      <c r="F405" s="20"/>
      <c r="G405" s="21"/>
      <c r="R405" s="9"/>
    </row>
    <row r="406" ht="15.75" customHeight="1">
      <c r="F406" s="20"/>
      <c r="G406" s="21"/>
      <c r="R406" s="9"/>
    </row>
    <row r="407" ht="15.75" customHeight="1">
      <c r="F407" s="20"/>
      <c r="G407" s="21"/>
      <c r="R407" s="9"/>
    </row>
    <row r="408" ht="15.75" customHeight="1">
      <c r="F408" s="20"/>
      <c r="G408" s="21"/>
      <c r="R408" s="9"/>
    </row>
    <row r="409" ht="15.75" customHeight="1">
      <c r="F409" s="20"/>
      <c r="G409" s="21"/>
      <c r="R409" s="9"/>
    </row>
    <row r="410" ht="15.75" customHeight="1">
      <c r="F410" s="20"/>
      <c r="G410" s="21"/>
      <c r="R410" s="9"/>
    </row>
    <row r="411" ht="15.75" customHeight="1">
      <c r="F411" s="20"/>
      <c r="G411" s="21"/>
      <c r="R411" s="9"/>
    </row>
    <row r="412" ht="15.75" customHeight="1">
      <c r="F412" s="20"/>
      <c r="G412" s="21"/>
      <c r="R412" s="9"/>
    </row>
    <row r="413" ht="15.75" customHeight="1">
      <c r="F413" s="20"/>
      <c r="G413" s="21"/>
      <c r="R413" s="9"/>
    </row>
    <row r="414" ht="15.75" customHeight="1">
      <c r="F414" s="20"/>
      <c r="G414" s="21"/>
      <c r="R414" s="9"/>
    </row>
    <row r="415" ht="15.75" customHeight="1">
      <c r="F415" s="20"/>
      <c r="G415" s="21"/>
      <c r="R415" s="9"/>
    </row>
    <row r="416" ht="15.75" customHeight="1">
      <c r="F416" s="20"/>
      <c r="G416" s="21"/>
      <c r="R416" s="9"/>
    </row>
    <row r="417" ht="15.75" customHeight="1">
      <c r="F417" s="20"/>
      <c r="G417" s="21"/>
      <c r="R417" s="9"/>
    </row>
    <row r="418" ht="15.75" customHeight="1">
      <c r="F418" s="20"/>
      <c r="G418" s="21"/>
      <c r="R418" s="9"/>
    </row>
    <row r="419" ht="15.75" customHeight="1">
      <c r="F419" s="20"/>
      <c r="G419" s="21"/>
      <c r="R419" s="9"/>
    </row>
    <row r="420" ht="15.75" customHeight="1">
      <c r="F420" s="20"/>
      <c r="G420" s="21"/>
      <c r="R420" s="9"/>
    </row>
    <row r="421" ht="15.75" customHeight="1">
      <c r="F421" s="20"/>
      <c r="G421" s="21"/>
      <c r="R421" s="9"/>
    </row>
    <row r="422" ht="15.75" customHeight="1">
      <c r="F422" s="20"/>
      <c r="G422" s="21"/>
      <c r="R422" s="9"/>
    </row>
    <row r="423" ht="15.75" customHeight="1">
      <c r="F423" s="20"/>
      <c r="G423" s="21"/>
      <c r="R423" s="9"/>
    </row>
    <row r="424" ht="15.75" customHeight="1">
      <c r="F424" s="20"/>
      <c r="G424" s="21"/>
      <c r="R424" s="9"/>
    </row>
    <row r="425" ht="15.75" customHeight="1">
      <c r="F425" s="20"/>
      <c r="G425" s="21"/>
      <c r="R425" s="9"/>
    </row>
    <row r="426" ht="15.75" customHeight="1">
      <c r="F426" s="20"/>
      <c r="G426" s="21"/>
      <c r="R426" s="9"/>
    </row>
    <row r="427" ht="15.75" customHeight="1">
      <c r="F427" s="20"/>
      <c r="G427" s="21"/>
      <c r="R427" s="9"/>
    </row>
    <row r="428" ht="15.75" customHeight="1">
      <c r="F428" s="20"/>
      <c r="G428" s="21"/>
      <c r="R428" s="9"/>
    </row>
    <row r="429" ht="15.75" customHeight="1">
      <c r="F429" s="20"/>
      <c r="G429" s="21"/>
      <c r="R429" s="9"/>
    </row>
    <row r="430" ht="15.75" customHeight="1">
      <c r="F430" s="20"/>
      <c r="G430" s="21"/>
      <c r="R430" s="9"/>
    </row>
    <row r="431" ht="15.75" customHeight="1">
      <c r="F431" s="20"/>
      <c r="G431" s="21"/>
      <c r="R431" s="9"/>
    </row>
    <row r="432" ht="15.75" customHeight="1">
      <c r="F432" s="20"/>
      <c r="G432" s="21"/>
      <c r="R432" s="9"/>
    </row>
    <row r="433" ht="15.75" customHeight="1">
      <c r="F433" s="20"/>
      <c r="G433" s="21"/>
      <c r="R433" s="9"/>
    </row>
    <row r="434" ht="15.75" customHeight="1">
      <c r="F434" s="20"/>
      <c r="G434" s="21"/>
      <c r="R434" s="9"/>
    </row>
    <row r="435" ht="15.75" customHeight="1">
      <c r="F435" s="20"/>
      <c r="G435" s="21"/>
      <c r="R435" s="9"/>
    </row>
    <row r="436" ht="15.75" customHeight="1">
      <c r="F436" s="20"/>
      <c r="G436" s="21"/>
      <c r="R436" s="9"/>
    </row>
    <row r="437" ht="15.75" customHeight="1">
      <c r="F437" s="20"/>
      <c r="G437" s="21"/>
      <c r="R437" s="9"/>
    </row>
    <row r="438" ht="15.75" customHeight="1">
      <c r="F438" s="20"/>
      <c r="G438" s="21"/>
      <c r="R438" s="9"/>
    </row>
    <row r="439" ht="15.75" customHeight="1">
      <c r="F439" s="20"/>
      <c r="G439" s="21"/>
      <c r="R439" s="9"/>
    </row>
    <row r="440" ht="15.75" customHeight="1">
      <c r="F440" s="20"/>
      <c r="G440" s="21"/>
      <c r="R440" s="9"/>
    </row>
    <row r="441" ht="15.75" customHeight="1">
      <c r="F441" s="20"/>
      <c r="G441" s="21"/>
      <c r="R441" s="9"/>
    </row>
    <row r="442" ht="15.75" customHeight="1">
      <c r="F442" s="20"/>
      <c r="G442" s="21"/>
      <c r="R442" s="9"/>
    </row>
    <row r="443" ht="15.75" customHeight="1">
      <c r="F443" s="20"/>
      <c r="G443" s="21"/>
      <c r="R443" s="9"/>
    </row>
    <row r="444" ht="15.75" customHeight="1">
      <c r="F444" s="20"/>
      <c r="G444" s="21"/>
      <c r="R444" s="9"/>
    </row>
    <row r="445" ht="15.75" customHeight="1">
      <c r="F445" s="20"/>
      <c r="G445" s="21"/>
      <c r="R445" s="9"/>
    </row>
    <row r="446" ht="15.75" customHeight="1">
      <c r="F446" s="20"/>
      <c r="G446" s="21"/>
      <c r="R446" s="9"/>
    </row>
    <row r="447" ht="15.75" customHeight="1">
      <c r="F447" s="20"/>
      <c r="G447" s="21"/>
      <c r="R447" s="9"/>
    </row>
    <row r="448" ht="15.75" customHeight="1">
      <c r="F448" s="20"/>
      <c r="G448" s="21"/>
      <c r="R448" s="9"/>
    </row>
    <row r="449" ht="15.75" customHeight="1">
      <c r="F449" s="20"/>
      <c r="G449" s="21"/>
      <c r="R449" s="9"/>
    </row>
    <row r="450" ht="15.75" customHeight="1">
      <c r="F450" s="20"/>
      <c r="G450" s="21"/>
      <c r="R450" s="9"/>
    </row>
    <row r="451" ht="15.75" customHeight="1">
      <c r="F451" s="20"/>
      <c r="G451" s="21"/>
      <c r="R451" s="9"/>
    </row>
    <row r="452" ht="15.75" customHeight="1">
      <c r="F452" s="20"/>
      <c r="G452" s="21"/>
      <c r="R452" s="9"/>
    </row>
    <row r="453" ht="15.75" customHeight="1">
      <c r="F453" s="20"/>
      <c r="G453" s="21"/>
      <c r="R453" s="9"/>
    </row>
    <row r="454" ht="15.75" customHeight="1">
      <c r="F454" s="20"/>
      <c r="G454" s="21"/>
      <c r="R454" s="9"/>
    </row>
    <row r="455" ht="15.75" customHeight="1">
      <c r="F455" s="20"/>
      <c r="G455" s="21"/>
      <c r="R455" s="9"/>
    </row>
    <row r="456" ht="15.75" customHeight="1">
      <c r="F456" s="20"/>
      <c r="G456" s="21"/>
      <c r="R456" s="9"/>
    </row>
    <row r="457" ht="15.75" customHeight="1">
      <c r="F457" s="20"/>
      <c r="G457" s="21"/>
      <c r="R457" s="9"/>
    </row>
    <row r="458" ht="15.75" customHeight="1">
      <c r="F458" s="20"/>
      <c r="G458" s="21"/>
      <c r="R458" s="9"/>
    </row>
    <row r="459" ht="15.75" customHeight="1">
      <c r="F459" s="20"/>
      <c r="G459" s="21"/>
      <c r="R459" s="9"/>
    </row>
    <row r="460" ht="15.75" customHeight="1">
      <c r="F460" s="20"/>
      <c r="G460" s="21"/>
      <c r="R460" s="9"/>
    </row>
    <row r="461" ht="15.75" customHeight="1">
      <c r="F461" s="20"/>
      <c r="G461" s="21"/>
      <c r="R461" s="9"/>
    </row>
    <row r="462" ht="15.75" customHeight="1">
      <c r="F462" s="20"/>
      <c r="G462" s="21"/>
      <c r="R462" s="9"/>
    </row>
    <row r="463" ht="15.75" customHeight="1">
      <c r="F463" s="20"/>
      <c r="G463" s="21"/>
      <c r="R463" s="9"/>
    </row>
    <row r="464" ht="15.75" customHeight="1">
      <c r="F464" s="20"/>
      <c r="G464" s="21"/>
      <c r="R464" s="9"/>
    </row>
    <row r="465" ht="15.75" customHeight="1">
      <c r="F465" s="20"/>
      <c r="G465" s="21"/>
      <c r="R465" s="9"/>
    </row>
    <row r="466" ht="15.75" customHeight="1">
      <c r="F466" s="20"/>
      <c r="G466" s="21"/>
      <c r="R466" s="9"/>
    </row>
    <row r="467" ht="15.75" customHeight="1">
      <c r="F467" s="20"/>
      <c r="G467" s="21"/>
      <c r="R467" s="9"/>
    </row>
    <row r="468" ht="15.75" customHeight="1">
      <c r="F468" s="20"/>
      <c r="G468" s="21"/>
      <c r="R468" s="9"/>
    </row>
    <row r="469" ht="15.75" customHeight="1">
      <c r="F469" s="20"/>
      <c r="G469" s="21"/>
      <c r="R469" s="9"/>
    </row>
    <row r="470" ht="15.75" customHeight="1">
      <c r="F470" s="20"/>
      <c r="G470" s="21"/>
      <c r="R470" s="9"/>
    </row>
    <row r="471" ht="15.75" customHeight="1">
      <c r="F471" s="20"/>
      <c r="G471" s="21"/>
      <c r="R471" s="9"/>
    </row>
    <row r="472" ht="15.75" customHeight="1">
      <c r="F472" s="20"/>
      <c r="G472" s="21"/>
      <c r="R472" s="9"/>
    </row>
    <row r="473" ht="15.75" customHeight="1">
      <c r="F473" s="20"/>
      <c r="G473" s="21"/>
      <c r="R473" s="9"/>
    </row>
    <row r="474" ht="15.75" customHeight="1">
      <c r="F474" s="20"/>
      <c r="G474" s="21"/>
      <c r="R474" s="9"/>
    </row>
    <row r="475" ht="15.75" customHeight="1">
      <c r="F475" s="20"/>
      <c r="G475" s="21"/>
      <c r="R475" s="9"/>
    </row>
    <row r="476" ht="15.75" customHeight="1">
      <c r="F476" s="20"/>
      <c r="G476" s="21"/>
      <c r="R476" s="9"/>
    </row>
    <row r="477" ht="15.75" customHeight="1">
      <c r="F477" s="20"/>
      <c r="G477" s="21"/>
      <c r="R477" s="9"/>
    </row>
    <row r="478" ht="15.75" customHeight="1">
      <c r="F478" s="20"/>
      <c r="G478" s="21"/>
      <c r="R478" s="9"/>
    </row>
    <row r="479" ht="15.75" customHeight="1">
      <c r="F479" s="20"/>
      <c r="G479" s="21"/>
      <c r="R479" s="9"/>
    </row>
    <row r="480" ht="15.75" customHeight="1">
      <c r="F480" s="20"/>
      <c r="G480" s="21"/>
      <c r="R480" s="9"/>
    </row>
    <row r="481" ht="15.75" customHeight="1">
      <c r="F481" s="20"/>
      <c r="G481" s="21"/>
      <c r="R481" s="9"/>
    </row>
    <row r="482" ht="15.75" customHeight="1">
      <c r="F482" s="20"/>
      <c r="G482" s="21"/>
      <c r="R482" s="9"/>
    </row>
    <row r="483" ht="15.75" customHeight="1">
      <c r="F483" s="20"/>
      <c r="G483" s="21"/>
      <c r="R483" s="9"/>
    </row>
    <row r="484" ht="15.75" customHeight="1">
      <c r="F484" s="20"/>
      <c r="G484" s="21"/>
      <c r="R484" s="9"/>
    </row>
    <row r="485" ht="15.75" customHeight="1">
      <c r="F485" s="20"/>
      <c r="G485" s="21"/>
      <c r="R485" s="9"/>
    </row>
    <row r="486" ht="15.75" customHeight="1">
      <c r="F486" s="20"/>
      <c r="G486" s="21"/>
      <c r="R486" s="9"/>
    </row>
    <row r="487" ht="15.75" customHeight="1">
      <c r="F487" s="20"/>
      <c r="G487" s="21"/>
      <c r="R487" s="9"/>
    </row>
    <row r="488" ht="15.75" customHeight="1">
      <c r="F488" s="20"/>
      <c r="G488" s="21"/>
      <c r="R488" s="9"/>
    </row>
    <row r="489" ht="15.75" customHeight="1">
      <c r="F489" s="20"/>
      <c r="G489" s="21"/>
      <c r="R489" s="9"/>
    </row>
    <row r="490" ht="15.75" customHeight="1">
      <c r="F490" s="20"/>
      <c r="G490" s="21"/>
      <c r="R490" s="9"/>
    </row>
    <row r="491" ht="15.75" customHeight="1">
      <c r="F491" s="20"/>
      <c r="G491" s="21"/>
      <c r="R491" s="9"/>
    </row>
    <row r="492" ht="15.75" customHeight="1">
      <c r="F492" s="20"/>
      <c r="G492" s="21"/>
      <c r="R492" s="9"/>
    </row>
    <row r="493" ht="15.75" customHeight="1">
      <c r="F493" s="20"/>
      <c r="G493" s="21"/>
      <c r="R493" s="9"/>
    </row>
    <row r="494" ht="15.75" customHeight="1">
      <c r="F494" s="20"/>
      <c r="G494" s="21"/>
      <c r="R494" s="9"/>
    </row>
    <row r="495" ht="15.75" customHeight="1">
      <c r="F495" s="20"/>
      <c r="G495" s="21"/>
      <c r="R495" s="9"/>
    </row>
    <row r="496" ht="15.75" customHeight="1">
      <c r="F496" s="20"/>
      <c r="G496" s="21"/>
      <c r="R496" s="9"/>
    </row>
    <row r="497" ht="15.75" customHeight="1">
      <c r="F497" s="20"/>
      <c r="G497" s="21"/>
      <c r="R497" s="9"/>
    </row>
    <row r="498" ht="15.75" customHeight="1">
      <c r="F498" s="20"/>
      <c r="G498" s="21"/>
      <c r="R498" s="9"/>
    </row>
    <row r="499" ht="15.75" customHeight="1">
      <c r="F499" s="20"/>
      <c r="G499" s="21"/>
      <c r="R499" s="9"/>
    </row>
    <row r="500" ht="15.75" customHeight="1">
      <c r="F500" s="20"/>
      <c r="G500" s="21"/>
      <c r="R500" s="9"/>
    </row>
    <row r="501" ht="15.75" customHeight="1">
      <c r="F501" s="20"/>
      <c r="G501" s="21"/>
      <c r="R501" s="9"/>
    </row>
    <row r="502" ht="15.75" customHeight="1">
      <c r="F502" s="20"/>
      <c r="G502" s="21"/>
      <c r="R502" s="9"/>
    </row>
    <row r="503" ht="15.75" customHeight="1">
      <c r="F503" s="20"/>
      <c r="G503" s="21"/>
      <c r="R503" s="9"/>
    </row>
    <row r="504" ht="15.75" customHeight="1">
      <c r="F504" s="20"/>
      <c r="G504" s="21"/>
      <c r="R504" s="9"/>
    </row>
    <row r="505" ht="15.75" customHeight="1">
      <c r="F505" s="20"/>
      <c r="G505" s="21"/>
      <c r="R505" s="9"/>
    </row>
    <row r="506" ht="15.75" customHeight="1">
      <c r="F506" s="20"/>
      <c r="G506" s="21"/>
      <c r="R506" s="9"/>
    </row>
    <row r="507" ht="15.75" customHeight="1">
      <c r="F507" s="20"/>
      <c r="G507" s="21"/>
      <c r="R507" s="9"/>
    </row>
    <row r="508" ht="15.75" customHeight="1">
      <c r="F508" s="20"/>
      <c r="G508" s="21"/>
      <c r="R508" s="9"/>
    </row>
    <row r="509" ht="15.75" customHeight="1">
      <c r="F509" s="20"/>
      <c r="G509" s="21"/>
      <c r="R509" s="9"/>
    </row>
    <row r="510" ht="15.75" customHeight="1">
      <c r="F510" s="20"/>
      <c r="G510" s="21"/>
      <c r="R510" s="9"/>
    </row>
    <row r="511" ht="15.75" customHeight="1">
      <c r="F511" s="20"/>
      <c r="G511" s="21"/>
      <c r="R511" s="9"/>
    </row>
    <row r="512" ht="15.75" customHeight="1">
      <c r="F512" s="20"/>
      <c r="G512" s="21"/>
      <c r="R512" s="9"/>
    </row>
    <row r="513" ht="15.75" customHeight="1">
      <c r="F513" s="20"/>
      <c r="G513" s="21"/>
      <c r="R513" s="9"/>
    </row>
    <row r="514" ht="15.75" customHeight="1">
      <c r="F514" s="20"/>
      <c r="G514" s="21"/>
      <c r="R514" s="9"/>
    </row>
    <row r="515" ht="15.75" customHeight="1">
      <c r="F515" s="20"/>
      <c r="G515" s="21"/>
      <c r="R515" s="9"/>
    </row>
    <row r="516" ht="15.75" customHeight="1">
      <c r="F516" s="20"/>
      <c r="G516" s="21"/>
      <c r="R516" s="9"/>
    </row>
    <row r="517" ht="15.75" customHeight="1">
      <c r="F517" s="20"/>
      <c r="G517" s="21"/>
      <c r="R517" s="9"/>
    </row>
    <row r="518" ht="15.75" customHeight="1">
      <c r="F518" s="20"/>
      <c r="G518" s="21"/>
      <c r="R518" s="9"/>
    </row>
    <row r="519" ht="15.75" customHeight="1">
      <c r="F519" s="20"/>
      <c r="G519" s="21"/>
      <c r="R519" s="9"/>
    </row>
    <row r="520" ht="15.75" customHeight="1">
      <c r="F520" s="20"/>
      <c r="G520" s="21"/>
      <c r="R520" s="9"/>
    </row>
    <row r="521" ht="15.75" customHeight="1">
      <c r="F521" s="20"/>
      <c r="G521" s="21"/>
      <c r="R521" s="9"/>
    </row>
    <row r="522" ht="15.75" customHeight="1">
      <c r="F522" s="20"/>
      <c r="G522" s="21"/>
      <c r="R522" s="9"/>
    </row>
    <row r="523" ht="15.75" customHeight="1">
      <c r="F523" s="20"/>
      <c r="G523" s="21"/>
      <c r="R523" s="9"/>
    </row>
    <row r="524" ht="15.75" customHeight="1">
      <c r="F524" s="20"/>
      <c r="G524" s="21"/>
      <c r="R524" s="9"/>
    </row>
    <row r="525" ht="15.75" customHeight="1">
      <c r="F525" s="20"/>
      <c r="G525" s="21"/>
      <c r="R525" s="9"/>
    </row>
    <row r="526" ht="15.75" customHeight="1">
      <c r="F526" s="20"/>
      <c r="G526" s="21"/>
      <c r="R526" s="9"/>
    </row>
    <row r="527" ht="15.75" customHeight="1">
      <c r="F527" s="20"/>
      <c r="G527" s="21"/>
      <c r="R527" s="9"/>
    </row>
    <row r="528" ht="15.75" customHeight="1">
      <c r="F528" s="20"/>
      <c r="G528" s="21"/>
      <c r="R528" s="9"/>
    </row>
    <row r="529" ht="15.75" customHeight="1">
      <c r="F529" s="20"/>
      <c r="G529" s="21"/>
      <c r="R529" s="9"/>
    </row>
    <row r="530" ht="15.75" customHeight="1">
      <c r="F530" s="20"/>
      <c r="G530" s="21"/>
      <c r="R530" s="9"/>
    </row>
    <row r="531" ht="15.75" customHeight="1">
      <c r="F531" s="20"/>
      <c r="G531" s="21"/>
      <c r="R531" s="9"/>
    </row>
    <row r="532" ht="15.75" customHeight="1">
      <c r="F532" s="20"/>
      <c r="G532" s="21"/>
      <c r="R532" s="9"/>
    </row>
    <row r="533" ht="15.75" customHeight="1">
      <c r="F533" s="20"/>
      <c r="G533" s="21"/>
      <c r="R533" s="9"/>
    </row>
    <row r="534" ht="15.75" customHeight="1">
      <c r="F534" s="20"/>
      <c r="G534" s="21"/>
      <c r="R534" s="9"/>
    </row>
    <row r="535" ht="15.75" customHeight="1">
      <c r="F535" s="20"/>
      <c r="G535" s="21"/>
      <c r="R535" s="9"/>
    </row>
    <row r="536" ht="15.75" customHeight="1">
      <c r="F536" s="20"/>
      <c r="G536" s="21"/>
      <c r="R536" s="9"/>
    </row>
    <row r="537" ht="15.75" customHeight="1">
      <c r="F537" s="20"/>
      <c r="G537" s="21"/>
      <c r="R537" s="9"/>
    </row>
    <row r="538" ht="15.75" customHeight="1">
      <c r="F538" s="20"/>
      <c r="G538" s="21"/>
      <c r="R538" s="9"/>
    </row>
    <row r="539" ht="15.75" customHeight="1">
      <c r="F539" s="20"/>
      <c r="G539" s="21"/>
      <c r="R539" s="9"/>
    </row>
    <row r="540" ht="15.75" customHeight="1">
      <c r="F540" s="20"/>
      <c r="G540" s="21"/>
      <c r="R540" s="9"/>
    </row>
    <row r="541" ht="15.75" customHeight="1">
      <c r="F541" s="20"/>
      <c r="G541" s="21"/>
      <c r="R541" s="9"/>
    </row>
    <row r="542" ht="15.75" customHeight="1">
      <c r="F542" s="20"/>
      <c r="G542" s="21"/>
      <c r="R542" s="9"/>
    </row>
    <row r="543" ht="15.75" customHeight="1">
      <c r="F543" s="20"/>
      <c r="G543" s="21"/>
      <c r="R543" s="9"/>
    </row>
    <row r="544" ht="15.75" customHeight="1">
      <c r="F544" s="20"/>
      <c r="G544" s="21"/>
      <c r="R544" s="9"/>
    </row>
    <row r="545" ht="15.75" customHeight="1">
      <c r="F545" s="20"/>
      <c r="G545" s="21"/>
      <c r="R545" s="9"/>
    </row>
    <row r="546" ht="15.75" customHeight="1">
      <c r="F546" s="20"/>
      <c r="G546" s="21"/>
      <c r="R546" s="9"/>
    </row>
    <row r="547" ht="15.75" customHeight="1">
      <c r="F547" s="20"/>
      <c r="G547" s="21"/>
      <c r="R547" s="9"/>
    </row>
    <row r="548" ht="15.75" customHeight="1">
      <c r="F548" s="20"/>
      <c r="G548" s="21"/>
      <c r="R548" s="9"/>
    </row>
    <row r="549" ht="15.75" customHeight="1">
      <c r="F549" s="20"/>
      <c r="G549" s="21"/>
      <c r="R549" s="9"/>
    </row>
    <row r="550" ht="15.75" customHeight="1">
      <c r="F550" s="20"/>
      <c r="G550" s="21"/>
      <c r="R550" s="9"/>
    </row>
    <row r="551" ht="15.75" customHeight="1">
      <c r="F551" s="20"/>
      <c r="G551" s="21"/>
      <c r="R551" s="9"/>
    </row>
    <row r="552" ht="15.75" customHeight="1">
      <c r="F552" s="20"/>
      <c r="G552" s="21"/>
      <c r="R552" s="9"/>
    </row>
    <row r="553" ht="15.75" customHeight="1">
      <c r="F553" s="20"/>
      <c r="G553" s="21"/>
      <c r="R553" s="9"/>
    </row>
    <row r="554" ht="15.75" customHeight="1">
      <c r="F554" s="20"/>
      <c r="G554" s="21"/>
      <c r="R554" s="9"/>
    </row>
    <row r="555" ht="15.75" customHeight="1">
      <c r="F555" s="20"/>
      <c r="G555" s="21"/>
      <c r="R555" s="9"/>
    </row>
    <row r="556" ht="15.75" customHeight="1">
      <c r="F556" s="20"/>
      <c r="G556" s="21"/>
      <c r="R556" s="9"/>
    </row>
    <row r="557" ht="15.75" customHeight="1">
      <c r="F557" s="20"/>
      <c r="G557" s="21"/>
      <c r="R557" s="9"/>
    </row>
    <row r="558" ht="15.75" customHeight="1">
      <c r="F558" s="20"/>
      <c r="G558" s="21"/>
      <c r="R558" s="9"/>
    </row>
    <row r="559" ht="15.75" customHeight="1">
      <c r="F559" s="20"/>
      <c r="G559" s="21"/>
      <c r="R559" s="9"/>
    </row>
    <row r="560" ht="15.75" customHeight="1">
      <c r="F560" s="20"/>
      <c r="G560" s="21"/>
      <c r="R560" s="9"/>
    </row>
    <row r="561" ht="15.75" customHeight="1">
      <c r="F561" s="20"/>
      <c r="G561" s="21"/>
      <c r="R561" s="9"/>
    </row>
    <row r="562" ht="15.75" customHeight="1">
      <c r="F562" s="20"/>
      <c r="G562" s="21"/>
      <c r="R562" s="9"/>
    </row>
    <row r="563" ht="15.75" customHeight="1">
      <c r="F563" s="20"/>
      <c r="G563" s="21"/>
      <c r="R563" s="9"/>
    </row>
    <row r="564" ht="15.75" customHeight="1">
      <c r="F564" s="20"/>
      <c r="G564" s="21"/>
      <c r="R564" s="9"/>
    </row>
    <row r="565" ht="15.75" customHeight="1">
      <c r="F565" s="20"/>
      <c r="G565" s="21"/>
      <c r="R565" s="9"/>
    </row>
    <row r="566" ht="15.75" customHeight="1">
      <c r="F566" s="20"/>
      <c r="G566" s="21"/>
      <c r="R566" s="9"/>
    </row>
    <row r="567" ht="15.75" customHeight="1">
      <c r="F567" s="20"/>
      <c r="G567" s="21"/>
      <c r="R567" s="9"/>
    </row>
    <row r="568" ht="15.75" customHeight="1">
      <c r="F568" s="20"/>
      <c r="G568" s="21"/>
      <c r="R568" s="9"/>
    </row>
    <row r="569" ht="15.75" customHeight="1">
      <c r="F569" s="20"/>
      <c r="G569" s="21"/>
      <c r="R569" s="9"/>
    </row>
    <row r="570" ht="15.75" customHeight="1">
      <c r="F570" s="20"/>
      <c r="G570" s="21"/>
      <c r="R570" s="9"/>
    </row>
    <row r="571" ht="15.75" customHeight="1">
      <c r="F571" s="20"/>
      <c r="G571" s="21"/>
      <c r="R571" s="9"/>
    </row>
    <row r="572" ht="15.75" customHeight="1">
      <c r="F572" s="20"/>
      <c r="G572" s="21"/>
      <c r="R572" s="9"/>
    </row>
    <row r="573" ht="15.75" customHeight="1">
      <c r="F573" s="20"/>
      <c r="G573" s="21"/>
      <c r="R573" s="9"/>
    </row>
    <row r="574" ht="15.75" customHeight="1">
      <c r="F574" s="20"/>
      <c r="G574" s="21"/>
      <c r="R574" s="9"/>
    </row>
    <row r="575" ht="15.75" customHeight="1">
      <c r="F575" s="20"/>
      <c r="G575" s="21"/>
      <c r="R575" s="9"/>
    </row>
    <row r="576" ht="15.75" customHeight="1">
      <c r="F576" s="20"/>
      <c r="G576" s="21"/>
      <c r="R576" s="9"/>
    </row>
    <row r="577" ht="15.75" customHeight="1">
      <c r="F577" s="20"/>
      <c r="G577" s="21"/>
      <c r="R577" s="9"/>
    </row>
    <row r="578" ht="15.75" customHeight="1">
      <c r="F578" s="20"/>
      <c r="G578" s="21"/>
      <c r="R578" s="9"/>
    </row>
    <row r="579" ht="15.75" customHeight="1">
      <c r="F579" s="20"/>
      <c r="G579" s="21"/>
      <c r="R579" s="9"/>
    </row>
    <row r="580" ht="15.75" customHeight="1">
      <c r="F580" s="20"/>
      <c r="G580" s="21"/>
      <c r="R580" s="9"/>
    </row>
    <row r="581" ht="15.75" customHeight="1">
      <c r="F581" s="20"/>
      <c r="G581" s="21"/>
      <c r="R581" s="9"/>
    </row>
    <row r="582" ht="15.75" customHeight="1">
      <c r="F582" s="20"/>
      <c r="G582" s="21"/>
      <c r="R582" s="9"/>
    </row>
    <row r="583" ht="15.75" customHeight="1">
      <c r="F583" s="20"/>
      <c r="G583" s="21"/>
      <c r="R583" s="9"/>
    </row>
    <row r="584" ht="15.75" customHeight="1">
      <c r="F584" s="20"/>
      <c r="G584" s="21"/>
      <c r="R584" s="9"/>
    </row>
    <row r="585" ht="15.75" customHeight="1">
      <c r="F585" s="20"/>
      <c r="G585" s="21"/>
      <c r="R585" s="9"/>
    </row>
    <row r="586" ht="15.75" customHeight="1">
      <c r="F586" s="20"/>
      <c r="G586" s="21"/>
      <c r="R586" s="9"/>
    </row>
    <row r="587" ht="15.75" customHeight="1">
      <c r="F587" s="20"/>
      <c r="G587" s="21"/>
      <c r="R587" s="9"/>
    </row>
    <row r="588" ht="15.75" customHeight="1">
      <c r="F588" s="20"/>
      <c r="G588" s="21"/>
      <c r="R588" s="9"/>
    </row>
    <row r="589" ht="15.75" customHeight="1">
      <c r="F589" s="20"/>
      <c r="G589" s="21"/>
      <c r="R589" s="9"/>
    </row>
    <row r="590" ht="15.75" customHeight="1">
      <c r="F590" s="20"/>
      <c r="G590" s="21"/>
      <c r="R590" s="9"/>
    </row>
    <row r="591" ht="15.75" customHeight="1">
      <c r="F591" s="20"/>
      <c r="G591" s="21"/>
      <c r="R591" s="9"/>
    </row>
    <row r="592" ht="15.75" customHeight="1">
      <c r="F592" s="20"/>
      <c r="G592" s="21"/>
      <c r="R592" s="9"/>
    </row>
    <row r="593" ht="15.75" customHeight="1">
      <c r="F593" s="20"/>
      <c r="G593" s="21"/>
      <c r="R593" s="9"/>
    </row>
    <row r="594" ht="15.75" customHeight="1">
      <c r="F594" s="20"/>
      <c r="G594" s="21"/>
      <c r="R594" s="9"/>
    </row>
    <row r="595" ht="15.75" customHeight="1">
      <c r="F595" s="20"/>
      <c r="G595" s="21"/>
      <c r="R595" s="9"/>
    </row>
    <row r="596" ht="15.75" customHeight="1">
      <c r="F596" s="20"/>
      <c r="G596" s="21"/>
      <c r="R596" s="9"/>
    </row>
    <row r="597" ht="15.75" customHeight="1">
      <c r="F597" s="20"/>
      <c r="G597" s="21"/>
      <c r="R597" s="9"/>
    </row>
    <row r="598" ht="15.75" customHeight="1">
      <c r="F598" s="20"/>
      <c r="G598" s="21"/>
      <c r="R598" s="9"/>
    </row>
    <row r="599" ht="15.75" customHeight="1">
      <c r="F599" s="20"/>
      <c r="G599" s="21"/>
      <c r="R599" s="9"/>
    </row>
    <row r="600" ht="15.75" customHeight="1">
      <c r="F600" s="20"/>
      <c r="G600" s="21"/>
      <c r="R600" s="9"/>
    </row>
    <row r="601" ht="15.75" customHeight="1">
      <c r="F601" s="20"/>
      <c r="G601" s="21"/>
      <c r="R601" s="9"/>
    </row>
    <row r="602" ht="15.75" customHeight="1">
      <c r="F602" s="20"/>
      <c r="G602" s="21"/>
      <c r="R602" s="9"/>
    </row>
    <row r="603" ht="15.75" customHeight="1">
      <c r="F603" s="20"/>
      <c r="G603" s="21"/>
      <c r="R603" s="9"/>
    </row>
    <row r="604" ht="15.75" customHeight="1">
      <c r="F604" s="20"/>
      <c r="G604" s="21"/>
      <c r="R604" s="9"/>
    </row>
    <row r="605" ht="15.75" customHeight="1">
      <c r="F605" s="20"/>
      <c r="G605" s="21"/>
      <c r="R605" s="9"/>
    </row>
    <row r="606" ht="15.75" customHeight="1">
      <c r="F606" s="20"/>
      <c r="G606" s="21"/>
      <c r="R606" s="9"/>
    </row>
    <row r="607" ht="15.75" customHeight="1">
      <c r="F607" s="20"/>
      <c r="G607" s="21"/>
      <c r="R607" s="9"/>
    </row>
    <row r="608" ht="15.75" customHeight="1">
      <c r="F608" s="20"/>
      <c r="G608" s="21"/>
      <c r="R608" s="9"/>
    </row>
    <row r="609" ht="15.75" customHeight="1">
      <c r="F609" s="20"/>
      <c r="G609" s="21"/>
      <c r="R609" s="9"/>
    </row>
    <row r="610" ht="15.75" customHeight="1">
      <c r="F610" s="20"/>
      <c r="G610" s="21"/>
      <c r="R610" s="9"/>
    </row>
    <row r="611" ht="15.75" customHeight="1">
      <c r="F611" s="20"/>
      <c r="G611" s="21"/>
      <c r="R611" s="9"/>
    </row>
    <row r="612" ht="15.75" customHeight="1">
      <c r="F612" s="20"/>
      <c r="G612" s="21"/>
      <c r="R612" s="9"/>
    </row>
    <row r="613" ht="15.75" customHeight="1">
      <c r="F613" s="20"/>
      <c r="G613" s="21"/>
      <c r="R613" s="9"/>
    </row>
    <row r="614" ht="15.75" customHeight="1">
      <c r="F614" s="20"/>
      <c r="G614" s="21"/>
      <c r="R614" s="9"/>
    </row>
    <row r="615" ht="15.75" customHeight="1">
      <c r="F615" s="20"/>
      <c r="G615" s="21"/>
      <c r="R615" s="9"/>
    </row>
    <row r="616" ht="15.75" customHeight="1">
      <c r="F616" s="20"/>
      <c r="G616" s="21"/>
      <c r="R616" s="9"/>
    </row>
    <row r="617" ht="15.75" customHeight="1">
      <c r="F617" s="20"/>
      <c r="G617" s="21"/>
      <c r="R617" s="9"/>
    </row>
    <row r="618" ht="15.75" customHeight="1">
      <c r="F618" s="20"/>
      <c r="G618" s="21"/>
      <c r="R618" s="9"/>
    </row>
    <row r="619" ht="15.75" customHeight="1">
      <c r="F619" s="20"/>
      <c r="G619" s="21"/>
      <c r="R619" s="9"/>
    </row>
    <row r="620" ht="15.75" customHeight="1">
      <c r="F620" s="20"/>
      <c r="G620" s="21"/>
      <c r="R620" s="9"/>
    </row>
    <row r="621" ht="15.75" customHeight="1">
      <c r="F621" s="20"/>
      <c r="G621" s="21"/>
      <c r="R621" s="9"/>
    </row>
    <row r="622" ht="15.75" customHeight="1">
      <c r="F622" s="20"/>
      <c r="G622" s="21"/>
      <c r="R622" s="9"/>
    </row>
    <row r="623" ht="15.75" customHeight="1">
      <c r="F623" s="20"/>
      <c r="G623" s="21"/>
      <c r="R623" s="9"/>
    </row>
    <row r="624" ht="15.75" customHeight="1">
      <c r="F624" s="20"/>
      <c r="G624" s="21"/>
      <c r="R624" s="9"/>
    </row>
    <row r="625" ht="15.75" customHeight="1">
      <c r="F625" s="20"/>
      <c r="G625" s="21"/>
      <c r="R625" s="9"/>
    </row>
    <row r="626" ht="15.75" customHeight="1">
      <c r="F626" s="20"/>
      <c r="G626" s="21"/>
      <c r="R626" s="9"/>
    </row>
    <row r="627" ht="15.75" customHeight="1">
      <c r="F627" s="20"/>
      <c r="G627" s="21"/>
      <c r="R627" s="9"/>
    </row>
    <row r="628" ht="15.75" customHeight="1">
      <c r="F628" s="20"/>
      <c r="G628" s="21"/>
      <c r="R628" s="9"/>
    </row>
    <row r="629" ht="15.75" customHeight="1">
      <c r="F629" s="20"/>
      <c r="G629" s="21"/>
      <c r="R629" s="9"/>
    </row>
    <row r="630" ht="15.75" customHeight="1">
      <c r="F630" s="20"/>
      <c r="G630" s="21"/>
      <c r="R630" s="9"/>
    </row>
    <row r="631" ht="15.75" customHeight="1">
      <c r="F631" s="20"/>
      <c r="G631" s="21"/>
      <c r="R631" s="9"/>
    </row>
    <row r="632" ht="15.75" customHeight="1">
      <c r="F632" s="20"/>
      <c r="G632" s="21"/>
      <c r="R632" s="9"/>
    </row>
    <row r="633" ht="15.75" customHeight="1">
      <c r="F633" s="20"/>
      <c r="G633" s="21"/>
      <c r="R633" s="9"/>
    </row>
    <row r="634" ht="15.75" customHeight="1">
      <c r="F634" s="20"/>
      <c r="G634" s="21"/>
      <c r="R634" s="9"/>
    </row>
    <row r="635" ht="15.75" customHeight="1">
      <c r="F635" s="20"/>
      <c r="G635" s="21"/>
      <c r="R635" s="9"/>
    </row>
    <row r="636" ht="15.75" customHeight="1">
      <c r="F636" s="20"/>
      <c r="G636" s="21"/>
      <c r="R636" s="9"/>
    </row>
    <row r="637" ht="15.75" customHeight="1">
      <c r="F637" s="20"/>
      <c r="G637" s="21"/>
      <c r="R637" s="9"/>
    </row>
    <row r="638" ht="15.75" customHeight="1">
      <c r="F638" s="20"/>
      <c r="G638" s="21"/>
      <c r="R638" s="9"/>
    </row>
    <row r="639" ht="15.75" customHeight="1">
      <c r="F639" s="20"/>
      <c r="G639" s="21"/>
      <c r="R639" s="9"/>
    </row>
    <row r="640" ht="15.75" customHeight="1">
      <c r="F640" s="20"/>
      <c r="G640" s="21"/>
      <c r="R640" s="9"/>
    </row>
    <row r="641" ht="15.75" customHeight="1">
      <c r="F641" s="20"/>
      <c r="G641" s="21"/>
      <c r="R641" s="9"/>
    </row>
    <row r="642" ht="15.75" customHeight="1">
      <c r="F642" s="20"/>
      <c r="G642" s="21"/>
      <c r="R642" s="9"/>
    </row>
    <row r="643" ht="15.75" customHeight="1">
      <c r="F643" s="20"/>
      <c r="G643" s="21"/>
      <c r="R643" s="9"/>
    </row>
    <row r="644" ht="15.75" customHeight="1">
      <c r="F644" s="20"/>
      <c r="G644" s="21"/>
      <c r="R644" s="9"/>
    </row>
    <row r="645" ht="15.75" customHeight="1">
      <c r="F645" s="20"/>
      <c r="G645" s="21"/>
      <c r="R645" s="9"/>
    </row>
    <row r="646" ht="15.75" customHeight="1">
      <c r="F646" s="20"/>
      <c r="G646" s="21"/>
      <c r="R646" s="9"/>
    </row>
    <row r="647" ht="15.75" customHeight="1">
      <c r="F647" s="20"/>
      <c r="G647" s="21"/>
      <c r="R647" s="9"/>
    </row>
    <row r="648" ht="15.75" customHeight="1">
      <c r="F648" s="20"/>
      <c r="G648" s="21"/>
      <c r="R648" s="9"/>
    </row>
    <row r="649" ht="15.75" customHeight="1">
      <c r="F649" s="20"/>
      <c r="G649" s="21"/>
      <c r="R649" s="9"/>
    </row>
    <row r="650" ht="15.75" customHeight="1">
      <c r="F650" s="20"/>
      <c r="G650" s="21"/>
      <c r="R650" s="9"/>
    </row>
    <row r="651" ht="15.75" customHeight="1">
      <c r="F651" s="20"/>
      <c r="G651" s="21"/>
      <c r="R651" s="9"/>
    </row>
    <row r="652" ht="15.75" customHeight="1">
      <c r="F652" s="20"/>
      <c r="G652" s="21"/>
      <c r="R652" s="9"/>
    </row>
    <row r="653" ht="15.75" customHeight="1">
      <c r="F653" s="20"/>
      <c r="G653" s="21"/>
      <c r="R653" s="9"/>
    </row>
    <row r="654" ht="15.75" customHeight="1">
      <c r="F654" s="20"/>
      <c r="G654" s="21"/>
      <c r="R654" s="9"/>
    </row>
    <row r="655" ht="15.75" customHeight="1">
      <c r="F655" s="20"/>
      <c r="G655" s="21"/>
      <c r="R655" s="9"/>
    </row>
    <row r="656" ht="15.75" customHeight="1">
      <c r="F656" s="20"/>
      <c r="G656" s="21"/>
      <c r="R656" s="9"/>
    </row>
    <row r="657" ht="15.75" customHeight="1">
      <c r="F657" s="20"/>
      <c r="G657" s="21"/>
      <c r="R657" s="9"/>
    </row>
    <row r="658" ht="15.75" customHeight="1">
      <c r="F658" s="20"/>
      <c r="G658" s="21"/>
      <c r="R658" s="9"/>
    </row>
    <row r="659" ht="15.75" customHeight="1">
      <c r="F659" s="20"/>
      <c r="G659" s="21"/>
      <c r="R659" s="9"/>
    </row>
    <row r="660" ht="15.75" customHeight="1">
      <c r="F660" s="20"/>
      <c r="G660" s="21"/>
      <c r="R660" s="9"/>
    </row>
    <row r="661" ht="15.75" customHeight="1">
      <c r="F661" s="20"/>
      <c r="G661" s="21"/>
      <c r="R661" s="9"/>
    </row>
    <row r="662" ht="15.75" customHeight="1">
      <c r="F662" s="20"/>
      <c r="G662" s="21"/>
      <c r="R662" s="9"/>
    </row>
    <row r="663" ht="15.75" customHeight="1">
      <c r="F663" s="20"/>
      <c r="G663" s="21"/>
      <c r="R663" s="9"/>
    </row>
    <row r="664" ht="15.75" customHeight="1">
      <c r="F664" s="20"/>
      <c r="G664" s="21"/>
      <c r="R664" s="9"/>
    </row>
    <row r="665" ht="15.75" customHeight="1">
      <c r="F665" s="20"/>
      <c r="G665" s="21"/>
      <c r="R665" s="9"/>
    </row>
    <row r="666" ht="15.75" customHeight="1">
      <c r="F666" s="20"/>
      <c r="G666" s="21"/>
      <c r="R666" s="9"/>
    </row>
    <row r="667" ht="15.75" customHeight="1">
      <c r="F667" s="20"/>
      <c r="G667" s="21"/>
      <c r="R667" s="9"/>
    </row>
    <row r="668" ht="15.75" customHeight="1">
      <c r="F668" s="20"/>
      <c r="G668" s="21"/>
      <c r="R668" s="9"/>
    </row>
    <row r="669" ht="15.75" customHeight="1">
      <c r="F669" s="20"/>
      <c r="G669" s="21"/>
      <c r="R669" s="9"/>
    </row>
    <row r="670" ht="15.75" customHeight="1">
      <c r="F670" s="20"/>
      <c r="G670" s="21"/>
      <c r="R670" s="9"/>
    </row>
    <row r="671" ht="15.75" customHeight="1">
      <c r="F671" s="20"/>
      <c r="G671" s="21"/>
      <c r="R671" s="9"/>
    </row>
    <row r="672" ht="15.75" customHeight="1">
      <c r="F672" s="20"/>
      <c r="G672" s="21"/>
      <c r="R672" s="9"/>
    </row>
    <row r="673" ht="15.75" customHeight="1">
      <c r="F673" s="20"/>
      <c r="G673" s="21"/>
      <c r="R673" s="9"/>
    </row>
    <row r="674" ht="15.75" customHeight="1">
      <c r="F674" s="20"/>
      <c r="G674" s="21"/>
      <c r="R674" s="9"/>
    </row>
    <row r="675" ht="15.75" customHeight="1">
      <c r="F675" s="20"/>
      <c r="G675" s="21"/>
      <c r="R675" s="9"/>
    </row>
    <row r="676" ht="15.75" customHeight="1">
      <c r="F676" s="20"/>
      <c r="G676" s="21"/>
      <c r="R676" s="9"/>
    </row>
    <row r="677" ht="15.75" customHeight="1">
      <c r="F677" s="20"/>
      <c r="G677" s="21"/>
      <c r="R677" s="9"/>
    </row>
    <row r="678" ht="15.75" customHeight="1">
      <c r="F678" s="20"/>
      <c r="G678" s="21"/>
      <c r="R678" s="9"/>
    </row>
    <row r="679" ht="15.75" customHeight="1">
      <c r="F679" s="20"/>
      <c r="G679" s="21"/>
      <c r="R679" s="9"/>
    </row>
    <row r="680" ht="15.75" customHeight="1">
      <c r="F680" s="20"/>
      <c r="G680" s="21"/>
      <c r="R680" s="9"/>
    </row>
    <row r="681" ht="15.75" customHeight="1">
      <c r="F681" s="20"/>
      <c r="G681" s="21"/>
      <c r="R681" s="9"/>
    </row>
    <row r="682" ht="15.75" customHeight="1">
      <c r="F682" s="20"/>
      <c r="G682" s="21"/>
      <c r="R682" s="9"/>
    </row>
    <row r="683" ht="15.75" customHeight="1">
      <c r="F683" s="20"/>
      <c r="G683" s="21"/>
      <c r="R683" s="9"/>
    </row>
    <row r="684" ht="15.75" customHeight="1">
      <c r="F684" s="20"/>
      <c r="G684" s="21"/>
      <c r="R684" s="9"/>
    </row>
    <row r="685" ht="15.75" customHeight="1">
      <c r="F685" s="20"/>
      <c r="G685" s="21"/>
      <c r="R685" s="9"/>
    </row>
    <row r="686" ht="15.75" customHeight="1">
      <c r="F686" s="20"/>
      <c r="G686" s="21"/>
      <c r="R686" s="9"/>
    </row>
    <row r="687" ht="15.75" customHeight="1">
      <c r="F687" s="20"/>
      <c r="G687" s="21"/>
      <c r="R687" s="9"/>
    </row>
    <row r="688" ht="15.75" customHeight="1">
      <c r="F688" s="20"/>
      <c r="G688" s="21"/>
      <c r="R688" s="9"/>
    </row>
    <row r="689" ht="15.75" customHeight="1">
      <c r="F689" s="20"/>
      <c r="G689" s="21"/>
      <c r="R689" s="9"/>
    </row>
    <row r="690" ht="15.75" customHeight="1">
      <c r="F690" s="20"/>
      <c r="G690" s="21"/>
      <c r="R690" s="9"/>
    </row>
    <row r="691" ht="15.75" customHeight="1">
      <c r="F691" s="20"/>
      <c r="G691" s="21"/>
      <c r="R691" s="9"/>
    </row>
    <row r="692" ht="15.75" customHeight="1">
      <c r="F692" s="20"/>
      <c r="G692" s="21"/>
      <c r="R692" s="9"/>
    </row>
    <row r="693" ht="15.75" customHeight="1">
      <c r="F693" s="20"/>
      <c r="G693" s="21"/>
      <c r="R693" s="9"/>
    </row>
    <row r="694" ht="15.75" customHeight="1">
      <c r="F694" s="20"/>
      <c r="G694" s="21"/>
      <c r="R694" s="9"/>
    </row>
    <row r="695" ht="15.75" customHeight="1">
      <c r="F695" s="20"/>
      <c r="G695" s="21"/>
      <c r="R695" s="9"/>
    </row>
    <row r="696" ht="15.75" customHeight="1">
      <c r="F696" s="20"/>
      <c r="G696" s="21"/>
      <c r="R696" s="9"/>
    </row>
    <row r="697" ht="15.75" customHeight="1">
      <c r="F697" s="20"/>
      <c r="G697" s="21"/>
      <c r="R697" s="9"/>
    </row>
    <row r="698" ht="15.75" customHeight="1">
      <c r="F698" s="20"/>
      <c r="G698" s="21"/>
      <c r="R698" s="9"/>
    </row>
    <row r="699" ht="15.75" customHeight="1">
      <c r="F699" s="20"/>
      <c r="G699" s="21"/>
      <c r="R699" s="9"/>
    </row>
    <row r="700" ht="15.75" customHeight="1">
      <c r="F700" s="20"/>
      <c r="G700" s="21"/>
      <c r="R700" s="9"/>
    </row>
    <row r="701" ht="15.75" customHeight="1">
      <c r="F701" s="20"/>
      <c r="G701" s="21"/>
      <c r="R701" s="9"/>
    </row>
    <row r="702" ht="15.75" customHeight="1">
      <c r="F702" s="20"/>
      <c r="G702" s="21"/>
      <c r="R702" s="9"/>
    </row>
    <row r="703" ht="15.75" customHeight="1">
      <c r="F703" s="20"/>
      <c r="G703" s="21"/>
      <c r="R703" s="9"/>
    </row>
    <row r="704" ht="15.75" customHeight="1">
      <c r="F704" s="20"/>
      <c r="G704" s="21"/>
      <c r="R704" s="9"/>
    </row>
    <row r="705" ht="15.75" customHeight="1">
      <c r="F705" s="20"/>
      <c r="G705" s="21"/>
      <c r="R705" s="9"/>
    </row>
    <row r="706" ht="15.75" customHeight="1">
      <c r="F706" s="20"/>
      <c r="G706" s="21"/>
      <c r="R706" s="9"/>
    </row>
    <row r="707" ht="15.75" customHeight="1">
      <c r="F707" s="20"/>
      <c r="G707" s="21"/>
      <c r="R707" s="9"/>
    </row>
    <row r="708" ht="15.75" customHeight="1">
      <c r="F708" s="20"/>
      <c r="G708" s="21"/>
      <c r="R708" s="9"/>
    </row>
    <row r="709" ht="15.75" customHeight="1">
      <c r="F709" s="20"/>
      <c r="G709" s="21"/>
      <c r="R709" s="9"/>
    </row>
    <row r="710" ht="15.75" customHeight="1">
      <c r="F710" s="20"/>
      <c r="G710" s="21"/>
      <c r="R710" s="9"/>
    </row>
    <row r="711" ht="15.75" customHeight="1">
      <c r="F711" s="20"/>
      <c r="G711" s="21"/>
      <c r="R711" s="9"/>
    </row>
    <row r="712" ht="15.75" customHeight="1">
      <c r="F712" s="20"/>
      <c r="G712" s="21"/>
      <c r="R712" s="9"/>
    </row>
    <row r="713" ht="15.75" customHeight="1">
      <c r="F713" s="20"/>
      <c r="G713" s="21"/>
      <c r="R713" s="9"/>
    </row>
    <row r="714" ht="15.75" customHeight="1">
      <c r="F714" s="20"/>
      <c r="G714" s="21"/>
      <c r="R714" s="9"/>
    </row>
    <row r="715" ht="15.75" customHeight="1">
      <c r="F715" s="20"/>
      <c r="G715" s="21"/>
      <c r="R715" s="9"/>
    </row>
    <row r="716" ht="15.75" customHeight="1">
      <c r="F716" s="20"/>
      <c r="G716" s="21"/>
      <c r="R716" s="9"/>
    </row>
    <row r="717" ht="15.75" customHeight="1">
      <c r="F717" s="20"/>
      <c r="G717" s="21"/>
      <c r="R717" s="9"/>
    </row>
    <row r="718" ht="15.75" customHeight="1">
      <c r="F718" s="20"/>
      <c r="G718" s="21"/>
      <c r="R718" s="9"/>
    </row>
    <row r="719" ht="15.75" customHeight="1">
      <c r="F719" s="20"/>
      <c r="G719" s="21"/>
      <c r="R719" s="9"/>
    </row>
    <row r="720" ht="15.75" customHeight="1">
      <c r="F720" s="20"/>
      <c r="G720" s="21"/>
      <c r="R720" s="9"/>
    </row>
    <row r="721" ht="15.75" customHeight="1">
      <c r="F721" s="20"/>
      <c r="G721" s="21"/>
      <c r="R721" s="9"/>
    </row>
    <row r="722" ht="15.75" customHeight="1">
      <c r="F722" s="20"/>
      <c r="G722" s="21"/>
      <c r="R722" s="9"/>
    </row>
    <row r="723" ht="15.75" customHeight="1">
      <c r="F723" s="20"/>
      <c r="G723" s="21"/>
      <c r="R723" s="9"/>
    </row>
    <row r="724" ht="15.75" customHeight="1">
      <c r="F724" s="20"/>
      <c r="G724" s="21"/>
      <c r="R724" s="9"/>
    </row>
    <row r="725" ht="15.75" customHeight="1">
      <c r="F725" s="20"/>
      <c r="G725" s="21"/>
      <c r="R725" s="9"/>
    </row>
    <row r="726" ht="15.75" customHeight="1">
      <c r="F726" s="20"/>
      <c r="G726" s="21"/>
      <c r="R726" s="9"/>
    </row>
    <row r="727" ht="15.75" customHeight="1">
      <c r="F727" s="20"/>
      <c r="G727" s="21"/>
      <c r="R727" s="9"/>
    </row>
    <row r="728" ht="15.75" customHeight="1">
      <c r="F728" s="20"/>
      <c r="G728" s="21"/>
      <c r="R728" s="9"/>
    </row>
    <row r="729" ht="15.75" customHeight="1">
      <c r="F729" s="20"/>
      <c r="G729" s="21"/>
      <c r="R729" s="9"/>
    </row>
    <row r="730" ht="15.75" customHeight="1">
      <c r="F730" s="20"/>
      <c r="G730" s="21"/>
      <c r="R730" s="9"/>
    </row>
    <row r="731" ht="15.75" customHeight="1">
      <c r="F731" s="20"/>
      <c r="G731" s="21"/>
      <c r="R731" s="9"/>
    </row>
    <row r="732" ht="15.75" customHeight="1">
      <c r="F732" s="20"/>
      <c r="G732" s="21"/>
      <c r="R732" s="9"/>
    </row>
    <row r="733" ht="15.75" customHeight="1">
      <c r="F733" s="20"/>
      <c r="G733" s="21"/>
      <c r="R733" s="9"/>
    </row>
    <row r="734" ht="15.75" customHeight="1">
      <c r="F734" s="20"/>
      <c r="G734" s="21"/>
      <c r="R734" s="9"/>
    </row>
    <row r="735" ht="15.75" customHeight="1">
      <c r="F735" s="20"/>
      <c r="G735" s="21"/>
      <c r="R735" s="9"/>
    </row>
    <row r="736" ht="15.75" customHeight="1">
      <c r="F736" s="20"/>
      <c r="G736" s="21"/>
      <c r="R736" s="9"/>
    </row>
    <row r="737" ht="15.75" customHeight="1">
      <c r="F737" s="20"/>
      <c r="G737" s="21"/>
      <c r="R737" s="9"/>
    </row>
    <row r="738" ht="15.75" customHeight="1">
      <c r="F738" s="20"/>
      <c r="G738" s="21"/>
      <c r="R738" s="9"/>
    </row>
    <row r="739" ht="15.75" customHeight="1">
      <c r="F739" s="20"/>
      <c r="G739" s="21"/>
      <c r="R739" s="9"/>
    </row>
    <row r="740" ht="15.75" customHeight="1">
      <c r="F740" s="20"/>
      <c r="G740" s="21"/>
      <c r="R740" s="9"/>
    </row>
    <row r="741" ht="15.75" customHeight="1">
      <c r="F741" s="20"/>
      <c r="G741" s="21"/>
      <c r="R741" s="9"/>
    </row>
    <row r="742" ht="15.75" customHeight="1">
      <c r="F742" s="20"/>
      <c r="G742" s="21"/>
      <c r="R742" s="9"/>
    </row>
    <row r="743" ht="15.75" customHeight="1">
      <c r="F743" s="20"/>
      <c r="G743" s="21"/>
      <c r="R743" s="9"/>
    </row>
    <row r="744" ht="15.75" customHeight="1">
      <c r="F744" s="20"/>
      <c r="G744" s="21"/>
      <c r="R744" s="9"/>
    </row>
    <row r="745" ht="15.75" customHeight="1">
      <c r="F745" s="20"/>
      <c r="G745" s="21"/>
      <c r="R745" s="9"/>
    </row>
    <row r="746" ht="15.75" customHeight="1">
      <c r="F746" s="20"/>
      <c r="G746" s="21"/>
      <c r="R746" s="9"/>
    </row>
    <row r="747" ht="15.75" customHeight="1">
      <c r="F747" s="20"/>
      <c r="G747" s="21"/>
      <c r="R747" s="9"/>
    </row>
    <row r="748" ht="15.75" customHeight="1">
      <c r="F748" s="20"/>
      <c r="G748" s="21"/>
      <c r="R748" s="9"/>
    </row>
    <row r="749" ht="15.75" customHeight="1">
      <c r="F749" s="20"/>
      <c r="G749" s="21"/>
      <c r="R749" s="9"/>
    </row>
    <row r="750" ht="15.75" customHeight="1">
      <c r="F750" s="20"/>
      <c r="G750" s="21"/>
      <c r="R750" s="9"/>
    </row>
    <row r="751" ht="15.75" customHeight="1">
      <c r="F751" s="20"/>
      <c r="G751" s="21"/>
      <c r="R751" s="9"/>
    </row>
    <row r="752" ht="15.75" customHeight="1">
      <c r="F752" s="20"/>
      <c r="G752" s="21"/>
      <c r="R752" s="9"/>
    </row>
    <row r="753" ht="15.75" customHeight="1">
      <c r="F753" s="20"/>
      <c r="G753" s="21"/>
      <c r="R753" s="9"/>
    </row>
    <row r="754" ht="15.75" customHeight="1">
      <c r="F754" s="20"/>
      <c r="G754" s="21"/>
      <c r="R754" s="9"/>
    </row>
    <row r="755" ht="15.75" customHeight="1">
      <c r="F755" s="20"/>
      <c r="G755" s="21"/>
      <c r="R755" s="9"/>
    </row>
    <row r="756" ht="15.75" customHeight="1">
      <c r="F756" s="20"/>
      <c r="G756" s="21"/>
      <c r="R756" s="9"/>
    </row>
    <row r="757" ht="15.75" customHeight="1">
      <c r="F757" s="20"/>
      <c r="G757" s="21"/>
      <c r="R757" s="9"/>
    </row>
    <row r="758" ht="15.75" customHeight="1">
      <c r="F758" s="20"/>
      <c r="G758" s="21"/>
      <c r="R758" s="9"/>
    </row>
    <row r="759" ht="15.75" customHeight="1">
      <c r="F759" s="20"/>
      <c r="G759" s="21"/>
      <c r="R759" s="9"/>
    </row>
    <row r="760" ht="15.75" customHeight="1">
      <c r="F760" s="20"/>
      <c r="G760" s="21"/>
      <c r="R760" s="9"/>
    </row>
    <row r="761" ht="15.75" customHeight="1">
      <c r="F761" s="20"/>
      <c r="G761" s="21"/>
      <c r="R761" s="9"/>
    </row>
    <row r="762" ht="15.75" customHeight="1">
      <c r="F762" s="20"/>
      <c r="G762" s="21"/>
      <c r="R762" s="9"/>
    </row>
    <row r="763" ht="15.75" customHeight="1">
      <c r="F763" s="20"/>
      <c r="G763" s="21"/>
      <c r="R763" s="9"/>
    </row>
    <row r="764" ht="15.75" customHeight="1">
      <c r="F764" s="20"/>
      <c r="G764" s="21"/>
      <c r="R764" s="9"/>
    </row>
    <row r="765" ht="15.75" customHeight="1">
      <c r="F765" s="20"/>
      <c r="G765" s="21"/>
      <c r="R765" s="9"/>
    </row>
    <row r="766" ht="15.75" customHeight="1">
      <c r="F766" s="20"/>
      <c r="G766" s="21"/>
      <c r="R766" s="9"/>
    </row>
    <row r="767" ht="15.75" customHeight="1">
      <c r="F767" s="20"/>
      <c r="G767" s="21"/>
      <c r="R767" s="9"/>
    </row>
    <row r="768" ht="15.75" customHeight="1">
      <c r="F768" s="20"/>
      <c r="G768" s="21"/>
      <c r="R768" s="9"/>
    </row>
    <row r="769" ht="15.75" customHeight="1">
      <c r="F769" s="20"/>
      <c r="G769" s="21"/>
      <c r="R769" s="9"/>
    </row>
    <row r="770" ht="15.75" customHeight="1">
      <c r="F770" s="20"/>
      <c r="G770" s="21"/>
      <c r="R770" s="9"/>
    </row>
    <row r="771" ht="15.75" customHeight="1">
      <c r="F771" s="20"/>
      <c r="G771" s="21"/>
      <c r="R771" s="9"/>
    </row>
    <row r="772" ht="15.75" customHeight="1">
      <c r="F772" s="20"/>
      <c r="G772" s="21"/>
      <c r="R772" s="9"/>
    </row>
    <row r="773" ht="15.75" customHeight="1">
      <c r="F773" s="20"/>
      <c r="G773" s="21"/>
      <c r="R773" s="9"/>
    </row>
    <row r="774" ht="15.75" customHeight="1">
      <c r="F774" s="20"/>
      <c r="G774" s="21"/>
      <c r="R774" s="9"/>
    </row>
    <row r="775" ht="15.75" customHeight="1">
      <c r="F775" s="20"/>
      <c r="G775" s="21"/>
      <c r="R775" s="9"/>
    </row>
    <row r="776" ht="15.75" customHeight="1">
      <c r="F776" s="20"/>
      <c r="G776" s="21"/>
      <c r="R776" s="9"/>
    </row>
    <row r="777" ht="15.75" customHeight="1">
      <c r="F777" s="20"/>
      <c r="G777" s="21"/>
      <c r="R777" s="9"/>
    </row>
    <row r="778" ht="15.75" customHeight="1">
      <c r="F778" s="20"/>
      <c r="G778" s="21"/>
      <c r="R778" s="9"/>
    </row>
    <row r="779" ht="15.75" customHeight="1">
      <c r="F779" s="20"/>
      <c r="G779" s="21"/>
      <c r="R779" s="9"/>
    </row>
    <row r="780" ht="15.75" customHeight="1">
      <c r="F780" s="20"/>
      <c r="G780" s="21"/>
      <c r="R780" s="9"/>
    </row>
    <row r="781" ht="15.75" customHeight="1">
      <c r="F781" s="20"/>
      <c r="G781" s="21"/>
      <c r="R781" s="9"/>
    </row>
    <row r="782" ht="15.75" customHeight="1">
      <c r="F782" s="20"/>
      <c r="G782" s="21"/>
      <c r="R782" s="9"/>
    </row>
    <row r="783" ht="15.75" customHeight="1">
      <c r="F783" s="20"/>
      <c r="G783" s="21"/>
      <c r="R783" s="9"/>
    </row>
    <row r="784" ht="15.75" customHeight="1">
      <c r="F784" s="20"/>
      <c r="G784" s="21"/>
      <c r="R784" s="9"/>
    </row>
    <row r="785" ht="15.75" customHeight="1">
      <c r="F785" s="20"/>
      <c r="G785" s="21"/>
      <c r="R785" s="9"/>
    </row>
    <row r="786" ht="15.75" customHeight="1">
      <c r="F786" s="20"/>
      <c r="G786" s="21"/>
      <c r="R786" s="9"/>
    </row>
    <row r="787" ht="15.75" customHeight="1">
      <c r="F787" s="20"/>
      <c r="G787" s="21"/>
      <c r="R787" s="9"/>
    </row>
    <row r="788" ht="15.75" customHeight="1">
      <c r="F788" s="20"/>
      <c r="G788" s="21"/>
      <c r="R788" s="9"/>
    </row>
    <row r="789" ht="15.75" customHeight="1">
      <c r="F789" s="20"/>
      <c r="G789" s="21"/>
      <c r="R789" s="9"/>
    </row>
    <row r="790" ht="15.75" customHeight="1">
      <c r="F790" s="20"/>
      <c r="G790" s="21"/>
      <c r="R790" s="9"/>
    </row>
    <row r="791" ht="15.75" customHeight="1">
      <c r="F791" s="20"/>
      <c r="G791" s="21"/>
      <c r="R791" s="9"/>
    </row>
    <row r="792" ht="15.75" customHeight="1">
      <c r="F792" s="20"/>
      <c r="G792" s="21"/>
      <c r="R792" s="9"/>
    </row>
    <row r="793" ht="15.75" customHeight="1">
      <c r="F793" s="20"/>
      <c r="G793" s="21"/>
      <c r="R793" s="9"/>
    </row>
    <row r="794" ht="15.75" customHeight="1">
      <c r="F794" s="20"/>
      <c r="G794" s="21"/>
      <c r="R794" s="9"/>
    </row>
    <row r="795" ht="15.75" customHeight="1">
      <c r="F795" s="20"/>
      <c r="G795" s="21"/>
      <c r="R795" s="9"/>
    </row>
    <row r="796" ht="15.75" customHeight="1">
      <c r="F796" s="20"/>
      <c r="G796" s="21"/>
      <c r="R796" s="9"/>
    </row>
    <row r="797" ht="15.75" customHeight="1">
      <c r="F797" s="20"/>
      <c r="G797" s="21"/>
      <c r="R797" s="9"/>
    </row>
    <row r="798" ht="15.75" customHeight="1">
      <c r="F798" s="20"/>
      <c r="G798" s="21"/>
      <c r="R798" s="9"/>
    </row>
    <row r="799" ht="15.75" customHeight="1">
      <c r="F799" s="20"/>
      <c r="G799" s="21"/>
      <c r="R799" s="9"/>
    </row>
    <row r="800" ht="15.75" customHeight="1">
      <c r="F800" s="20"/>
      <c r="G800" s="21"/>
      <c r="R800" s="9"/>
    </row>
    <row r="801" ht="15.75" customHeight="1">
      <c r="F801" s="20"/>
      <c r="G801" s="21"/>
      <c r="R801" s="9"/>
    </row>
    <row r="802" ht="15.75" customHeight="1">
      <c r="F802" s="20"/>
      <c r="G802" s="21"/>
      <c r="R802" s="9"/>
    </row>
    <row r="803" ht="15.75" customHeight="1">
      <c r="F803" s="20"/>
      <c r="G803" s="21"/>
      <c r="R803" s="9"/>
    </row>
    <row r="804" ht="15.75" customHeight="1">
      <c r="F804" s="20"/>
      <c r="G804" s="21"/>
      <c r="R804" s="9"/>
    </row>
    <row r="805" ht="15.75" customHeight="1">
      <c r="F805" s="20"/>
      <c r="G805" s="21"/>
      <c r="R805" s="9"/>
    </row>
    <row r="806" ht="15.75" customHeight="1">
      <c r="F806" s="20"/>
      <c r="G806" s="21"/>
      <c r="R806" s="9"/>
    </row>
    <row r="807" ht="15.75" customHeight="1">
      <c r="F807" s="20"/>
      <c r="G807" s="21"/>
      <c r="R807" s="9"/>
    </row>
    <row r="808" ht="15.75" customHeight="1">
      <c r="F808" s="20"/>
      <c r="G808" s="21"/>
      <c r="R808" s="9"/>
    </row>
    <row r="809" ht="15.75" customHeight="1">
      <c r="F809" s="20"/>
      <c r="G809" s="21"/>
      <c r="R809" s="9"/>
    </row>
    <row r="810" ht="15.75" customHeight="1">
      <c r="F810" s="20"/>
      <c r="G810" s="21"/>
      <c r="R810" s="9"/>
    </row>
    <row r="811" ht="15.75" customHeight="1">
      <c r="F811" s="20"/>
      <c r="G811" s="21"/>
      <c r="R811" s="9"/>
    </row>
    <row r="812" ht="15.75" customHeight="1">
      <c r="F812" s="20"/>
      <c r="G812" s="21"/>
      <c r="R812" s="9"/>
    </row>
    <row r="813" ht="15.75" customHeight="1">
      <c r="F813" s="20"/>
      <c r="G813" s="21"/>
      <c r="R813" s="9"/>
    </row>
    <row r="814" ht="15.75" customHeight="1">
      <c r="F814" s="20"/>
      <c r="G814" s="21"/>
      <c r="R814" s="9"/>
    </row>
    <row r="815" ht="15.75" customHeight="1">
      <c r="F815" s="20"/>
      <c r="G815" s="21"/>
      <c r="R815" s="9"/>
    </row>
    <row r="816" ht="15.75" customHeight="1">
      <c r="F816" s="20"/>
      <c r="G816" s="21"/>
      <c r="R816" s="9"/>
    </row>
    <row r="817" ht="15.75" customHeight="1">
      <c r="F817" s="20"/>
      <c r="G817" s="21"/>
      <c r="R817" s="9"/>
    </row>
    <row r="818" ht="15.75" customHeight="1">
      <c r="F818" s="20"/>
      <c r="G818" s="21"/>
      <c r="R818" s="9"/>
    </row>
    <row r="819" ht="15.75" customHeight="1">
      <c r="F819" s="20"/>
      <c r="G819" s="21"/>
      <c r="R819" s="9"/>
    </row>
    <row r="820" ht="15.75" customHeight="1">
      <c r="F820" s="20"/>
      <c r="G820" s="21"/>
      <c r="R820" s="9"/>
    </row>
    <row r="821" ht="15.75" customHeight="1">
      <c r="F821" s="20"/>
      <c r="G821" s="21"/>
      <c r="R821" s="9"/>
    </row>
    <row r="822" ht="15.75" customHeight="1">
      <c r="F822" s="20"/>
      <c r="G822" s="21"/>
      <c r="R822" s="9"/>
    </row>
    <row r="823" ht="15.75" customHeight="1">
      <c r="F823" s="20"/>
      <c r="G823" s="21"/>
      <c r="R823" s="9"/>
    </row>
    <row r="824" ht="15.75" customHeight="1">
      <c r="F824" s="20"/>
      <c r="G824" s="21"/>
      <c r="R824" s="9"/>
    </row>
    <row r="825" ht="15.75" customHeight="1">
      <c r="F825" s="20"/>
      <c r="G825" s="21"/>
      <c r="R825" s="9"/>
    </row>
    <row r="826" ht="15.75" customHeight="1">
      <c r="F826" s="20"/>
      <c r="G826" s="21"/>
      <c r="R826" s="9"/>
    </row>
    <row r="827" ht="15.75" customHeight="1">
      <c r="F827" s="20"/>
      <c r="G827" s="21"/>
      <c r="R827" s="9"/>
    </row>
    <row r="828" ht="15.75" customHeight="1">
      <c r="F828" s="20"/>
      <c r="G828" s="21"/>
      <c r="R828" s="9"/>
    </row>
    <row r="829" ht="15.75" customHeight="1">
      <c r="F829" s="20"/>
      <c r="G829" s="21"/>
      <c r="R829" s="9"/>
    </row>
    <row r="830" ht="15.75" customHeight="1">
      <c r="F830" s="20"/>
      <c r="G830" s="21"/>
      <c r="R830" s="9"/>
    </row>
    <row r="831" ht="15.75" customHeight="1">
      <c r="F831" s="20"/>
      <c r="G831" s="21"/>
      <c r="R831" s="9"/>
    </row>
    <row r="832" ht="15.75" customHeight="1">
      <c r="F832" s="20"/>
      <c r="G832" s="21"/>
      <c r="R832" s="9"/>
    </row>
    <row r="833" ht="15.75" customHeight="1">
      <c r="F833" s="20"/>
      <c r="G833" s="21"/>
      <c r="R833" s="9"/>
    </row>
    <row r="834" ht="15.75" customHeight="1">
      <c r="F834" s="20"/>
      <c r="G834" s="21"/>
      <c r="R834" s="9"/>
    </row>
    <row r="835" ht="15.75" customHeight="1">
      <c r="F835" s="20"/>
      <c r="G835" s="21"/>
      <c r="R835" s="9"/>
    </row>
    <row r="836" ht="15.75" customHeight="1">
      <c r="F836" s="20"/>
      <c r="G836" s="21"/>
      <c r="R836" s="9"/>
    </row>
    <row r="837" ht="15.75" customHeight="1">
      <c r="F837" s="20"/>
      <c r="G837" s="21"/>
      <c r="R837" s="9"/>
    </row>
    <row r="838" ht="15.75" customHeight="1">
      <c r="F838" s="20"/>
      <c r="G838" s="21"/>
      <c r="R838" s="9"/>
    </row>
    <row r="839" ht="15.75" customHeight="1">
      <c r="F839" s="20"/>
      <c r="G839" s="21"/>
      <c r="R839" s="9"/>
    </row>
    <row r="840" ht="15.75" customHeight="1">
      <c r="F840" s="20"/>
      <c r="G840" s="21"/>
      <c r="R840" s="9"/>
    </row>
    <row r="841" ht="15.75" customHeight="1">
      <c r="F841" s="20"/>
      <c r="G841" s="21"/>
      <c r="R841" s="9"/>
    </row>
    <row r="842" ht="15.75" customHeight="1">
      <c r="F842" s="20"/>
      <c r="G842" s="21"/>
      <c r="R842" s="9"/>
    </row>
    <row r="843" ht="15.75" customHeight="1">
      <c r="F843" s="20"/>
      <c r="G843" s="21"/>
      <c r="R843" s="9"/>
    </row>
    <row r="844" ht="15.75" customHeight="1">
      <c r="F844" s="20"/>
      <c r="G844" s="21"/>
      <c r="R844" s="9"/>
    </row>
    <row r="845" ht="15.75" customHeight="1">
      <c r="F845" s="20"/>
      <c r="G845" s="21"/>
      <c r="R845" s="9"/>
    </row>
    <row r="846" ht="15.75" customHeight="1">
      <c r="F846" s="20"/>
      <c r="G846" s="21"/>
      <c r="R846" s="9"/>
    </row>
    <row r="847" ht="15.75" customHeight="1">
      <c r="F847" s="20"/>
      <c r="G847" s="21"/>
      <c r="R847" s="9"/>
    </row>
    <row r="848" ht="15.75" customHeight="1">
      <c r="F848" s="20"/>
      <c r="G848" s="21"/>
      <c r="R848" s="9"/>
    </row>
    <row r="849" ht="15.75" customHeight="1">
      <c r="F849" s="20"/>
      <c r="G849" s="21"/>
      <c r="R849" s="9"/>
    </row>
    <row r="850" ht="15.75" customHeight="1">
      <c r="F850" s="20"/>
      <c r="G850" s="21"/>
      <c r="R850" s="9"/>
    </row>
    <row r="851" ht="15.75" customHeight="1">
      <c r="F851" s="20"/>
      <c r="G851" s="21"/>
      <c r="R851" s="9"/>
    </row>
    <row r="852" ht="15.75" customHeight="1">
      <c r="F852" s="20"/>
      <c r="G852" s="21"/>
      <c r="R852" s="9"/>
    </row>
    <row r="853" ht="15.75" customHeight="1">
      <c r="F853" s="20"/>
      <c r="G853" s="21"/>
      <c r="R853" s="9"/>
    </row>
    <row r="854" ht="15.75" customHeight="1">
      <c r="F854" s="20"/>
      <c r="G854" s="21"/>
      <c r="R854" s="9"/>
    </row>
    <row r="855" ht="15.75" customHeight="1">
      <c r="F855" s="20"/>
      <c r="G855" s="21"/>
      <c r="R855" s="9"/>
    </row>
    <row r="856" ht="15.75" customHeight="1">
      <c r="F856" s="20"/>
      <c r="G856" s="21"/>
      <c r="R856" s="9"/>
    </row>
    <row r="857" ht="15.75" customHeight="1">
      <c r="F857" s="20"/>
      <c r="G857" s="21"/>
      <c r="R857" s="9"/>
    </row>
    <row r="858" ht="15.75" customHeight="1">
      <c r="F858" s="20"/>
      <c r="G858" s="21"/>
      <c r="R858" s="9"/>
    </row>
    <row r="859" ht="15.75" customHeight="1">
      <c r="F859" s="20"/>
      <c r="G859" s="21"/>
      <c r="R859" s="9"/>
    </row>
    <row r="860" ht="15.75" customHeight="1">
      <c r="F860" s="20"/>
      <c r="G860" s="21"/>
      <c r="R860" s="9"/>
    </row>
    <row r="861" ht="15.75" customHeight="1">
      <c r="F861" s="20"/>
      <c r="G861" s="21"/>
      <c r="R861" s="9"/>
    </row>
    <row r="862" ht="15.75" customHeight="1">
      <c r="F862" s="20"/>
      <c r="G862" s="21"/>
      <c r="R862" s="9"/>
    </row>
    <row r="863" ht="15.75" customHeight="1">
      <c r="F863" s="20"/>
      <c r="G863" s="21"/>
      <c r="R863" s="9"/>
    </row>
    <row r="864" ht="15.75" customHeight="1">
      <c r="F864" s="20"/>
      <c r="G864" s="21"/>
      <c r="R864" s="9"/>
    </row>
    <row r="865" ht="15.75" customHeight="1">
      <c r="F865" s="20"/>
      <c r="G865" s="21"/>
      <c r="R865" s="9"/>
    </row>
    <row r="866" ht="15.75" customHeight="1">
      <c r="F866" s="20"/>
      <c r="G866" s="21"/>
      <c r="R866" s="9"/>
    </row>
    <row r="867" ht="15.75" customHeight="1">
      <c r="F867" s="20"/>
      <c r="G867" s="21"/>
      <c r="R867" s="9"/>
    </row>
    <row r="868" ht="15.75" customHeight="1">
      <c r="F868" s="20"/>
      <c r="G868" s="21"/>
      <c r="R868" s="9"/>
    </row>
    <row r="869" ht="15.75" customHeight="1">
      <c r="F869" s="20"/>
      <c r="G869" s="21"/>
      <c r="R869" s="9"/>
    </row>
    <row r="870" ht="15.75" customHeight="1">
      <c r="F870" s="20"/>
      <c r="G870" s="21"/>
      <c r="R870" s="9"/>
    </row>
    <row r="871" ht="15.75" customHeight="1">
      <c r="F871" s="20"/>
      <c r="G871" s="21"/>
      <c r="R871" s="9"/>
    </row>
    <row r="872" ht="15.75" customHeight="1">
      <c r="F872" s="20"/>
      <c r="G872" s="21"/>
      <c r="R872" s="9"/>
    </row>
    <row r="873" ht="15.75" customHeight="1">
      <c r="F873" s="20"/>
      <c r="G873" s="21"/>
      <c r="R873" s="9"/>
    </row>
    <row r="874" ht="15.75" customHeight="1">
      <c r="F874" s="20"/>
      <c r="G874" s="21"/>
      <c r="R874" s="9"/>
    </row>
    <row r="875" ht="15.75" customHeight="1">
      <c r="F875" s="20"/>
      <c r="G875" s="21"/>
      <c r="R875" s="9"/>
    </row>
    <row r="876" ht="15.75" customHeight="1">
      <c r="F876" s="20"/>
      <c r="G876" s="21"/>
      <c r="R876" s="9"/>
    </row>
    <row r="877" ht="15.75" customHeight="1">
      <c r="F877" s="20"/>
      <c r="G877" s="21"/>
      <c r="R877" s="9"/>
    </row>
    <row r="878" ht="15.75" customHeight="1">
      <c r="F878" s="20"/>
      <c r="G878" s="21"/>
      <c r="R878" s="9"/>
    </row>
    <row r="879" ht="15.75" customHeight="1">
      <c r="F879" s="20"/>
      <c r="G879" s="21"/>
      <c r="R879" s="9"/>
    </row>
    <row r="880" ht="15.75" customHeight="1">
      <c r="F880" s="20"/>
      <c r="G880" s="21"/>
      <c r="R880" s="9"/>
    </row>
    <row r="881" ht="15.75" customHeight="1">
      <c r="F881" s="20"/>
      <c r="G881" s="21"/>
      <c r="R881" s="9"/>
    </row>
    <row r="882" ht="15.75" customHeight="1">
      <c r="F882" s="20"/>
      <c r="G882" s="21"/>
      <c r="R882" s="9"/>
    </row>
    <row r="883" ht="15.75" customHeight="1">
      <c r="F883" s="20"/>
      <c r="G883" s="21"/>
      <c r="R883" s="9"/>
    </row>
    <row r="884" ht="15.75" customHeight="1">
      <c r="F884" s="20"/>
      <c r="G884" s="21"/>
      <c r="R884" s="9"/>
    </row>
    <row r="885" ht="15.75" customHeight="1">
      <c r="F885" s="20"/>
      <c r="G885" s="21"/>
      <c r="R885" s="9"/>
    </row>
    <row r="886" ht="15.75" customHeight="1">
      <c r="F886" s="20"/>
      <c r="G886" s="21"/>
      <c r="R886" s="9"/>
    </row>
    <row r="887" ht="15.75" customHeight="1">
      <c r="F887" s="20"/>
      <c r="G887" s="21"/>
      <c r="R887" s="9"/>
    </row>
    <row r="888" ht="15.75" customHeight="1">
      <c r="F888" s="20"/>
      <c r="G888" s="21"/>
      <c r="R888" s="9"/>
    </row>
    <row r="889" ht="15.75" customHeight="1">
      <c r="F889" s="20"/>
      <c r="G889" s="21"/>
      <c r="R889" s="9"/>
    </row>
    <row r="890" ht="15.75" customHeight="1">
      <c r="F890" s="20"/>
      <c r="G890" s="21"/>
      <c r="R890" s="9"/>
    </row>
    <row r="891" ht="15.75" customHeight="1">
      <c r="F891" s="20"/>
      <c r="G891" s="21"/>
      <c r="R891" s="9"/>
    </row>
    <row r="892" ht="15.75" customHeight="1">
      <c r="F892" s="20"/>
      <c r="G892" s="21"/>
      <c r="R892" s="9"/>
    </row>
    <row r="893" ht="15.75" customHeight="1">
      <c r="F893" s="20"/>
      <c r="G893" s="21"/>
      <c r="R893" s="9"/>
    </row>
    <row r="894" ht="15.75" customHeight="1">
      <c r="F894" s="20"/>
      <c r="G894" s="21"/>
      <c r="R894" s="9"/>
    </row>
    <row r="895" ht="15.75" customHeight="1">
      <c r="F895" s="20"/>
      <c r="G895" s="21"/>
      <c r="R895" s="9"/>
    </row>
    <row r="896" ht="15.75" customHeight="1">
      <c r="F896" s="20"/>
      <c r="G896" s="21"/>
      <c r="R896" s="9"/>
    </row>
    <row r="897" ht="15.75" customHeight="1">
      <c r="F897" s="20"/>
      <c r="G897" s="21"/>
      <c r="R897" s="9"/>
    </row>
    <row r="898" ht="15.75" customHeight="1">
      <c r="F898" s="20"/>
      <c r="G898" s="21"/>
      <c r="R898" s="9"/>
    </row>
    <row r="899" ht="15.75" customHeight="1">
      <c r="F899" s="20"/>
      <c r="G899" s="21"/>
      <c r="R899" s="9"/>
    </row>
    <row r="900" ht="15.75" customHeight="1">
      <c r="F900" s="20"/>
      <c r="G900" s="21"/>
      <c r="R900" s="9"/>
    </row>
    <row r="901" ht="15.75" customHeight="1">
      <c r="F901" s="20"/>
      <c r="G901" s="21"/>
      <c r="R901" s="9"/>
    </row>
    <row r="902" ht="15.75" customHeight="1">
      <c r="F902" s="20"/>
      <c r="G902" s="21"/>
      <c r="R902" s="9"/>
    </row>
    <row r="903" ht="15.75" customHeight="1">
      <c r="F903" s="20"/>
      <c r="G903" s="21"/>
      <c r="R903" s="9"/>
    </row>
    <row r="904" ht="15.75" customHeight="1">
      <c r="F904" s="20"/>
      <c r="G904" s="21"/>
      <c r="R904" s="9"/>
    </row>
    <row r="905" ht="15.75" customHeight="1">
      <c r="F905" s="20"/>
      <c r="G905" s="21"/>
      <c r="R905" s="9"/>
    </row>
    <row r="906" ht="15.75" customHeight="1">
      <c r="F906" s="20"/>
      <c r="G906" s="21"/>
      <c r="R906" s="9"/>
    </row>
    <row r="907" ht="15.75" customHeight="1">
      <c r="F907" s="20"/>
      <c r="G907" s="21"/>
      <c r="R907" s="9"/>
    </row>
    <row r="908" ht="15.75" customHeight="1">
      <c r="F908" s="20"/>
      <c r="G908" s="21"/>
      <c r="R908" s="9"/>
    </row>
    <row r="909" ht="15.75" customHeight="1">
      <c r="F909" s="20"/>
      <c r="G909" s="21"/>
      <c r="R909" s="9"/>
    </row>
    <row r="910" ht="15.75" customHeight="1">
      <c r="F910" s="20"/>
      <c r="G910" s="21"/>
      <c r="R910" s="9"/>
    </row>
    <row r="911" ht="15.75" customHeight="1">
      <c r="F911" s="20"/>
      <c r="G911" s="21"/>
      <c r="R911" s="9"/>
    </row>
    <row r="912" ht="15.75" customHeight="1">
      <c r="F912" s="20"/>
      <c r="G912" s="21"/>
      <c r="R912" s="9"/>
    </row>
    <row r="913" ht="15.75" customHeight="1">
      <c r="F913" s="20"/>
      <c r="G913" s="21"/>
      <c r="R913" s="9"/>
    </row>
    <row r="914" ht="15.75" customHeight="1">
      <c r="F914" s="20"/>
      <c r="G914" s="21"/>
      <c r="R914" s="9"/>
    </row>
    <row r="915" ht="15.75" customHeight="1">
      <c r="F915" s="20"/>
      <c r="G915" s="21"/>
      <c r="R915" s="9"/>
    </row>
    <row r="916" ht="15.75" customHeight="1">
      <c r="F916" s="20"/>
      <c r="G916" s="21"/>
      <c r="R916" s="9"/>
    </row>
    <row r="917" ht="15.75" customHeight="1">
      <c r="F917" s="20"/>
      <c r="G917" s="21"/>
      <c r="R917" s="9"/>
    </row>
    <row r="918" ht="15.75" customHeight="1">
      <c r="F918" s="20"/>
      <c r="G918" s="21"/>
      <c r="R918" s="9"/>
    </row>
    <row r="919" ht="15.75" customHeight="1">
      <c r="F919" s="20"/>
      <c r="G919" s="21"/>
      <c r="R919" s="9"/>
    </row>
    <row r="920" ht="15.75" customHeight="1">
      <c r="F920" s="20"/>
      <c r="G920" s="21"/>
      <c r="R920" s="9"/>
    </row>
    <row r="921" ht="15.75" customHeight="1">
      <c r="F921" s="20"/>
      <c r="G921" s="21"/>
      <c r="R921" s="9"/>
    </row>
    <row r="922" ht="15.75" customHeight="1">
      <c r="F922" s="20"/>
      <c r="G922" s="21"/>
      <c r="R922" s="9"/>
    </row>
    <row r="923" ht="15.75" customHeight="1">
      <c r="F923" s="20"/>
      <c r="G923" s="21"/>
      <c r="R923" s="9"/>
    </row>
    <row r="924" ht="15.75" customHeight="1">
      <c r="F924" s="20"/>
      <c r="G924" s="21"/>
      <c r="R924" s="9"/>
    </row>
    <row r="925" ht="15.75" customHeight="1">
      <c r="F925" s="20"/>
      <c r="G925" s="21"/>
      <c r="R925" s="9"/>
    </row>
    <row r="926" ht="15.75" customHeight="1">
      <c r="F926" s="20"/>
      <c r="G926" s="21"/>
      <c r="R926" s="9"/>
    </row>
    <row r="927" ht="15.75" customHeight="1">
      <c r="F927" s="20"/>
      <c r="G927" s="21"/>
      <c r="R927" s="9"/>
    </row>
    <row r="928" ht="15.75" customHeight="1">
      <c r="F928" s="20"/>
      <c r="G928" s="21"/>
      <c r="R928" s="9"/>
    </row>
    <row r="929" ht="15.75" customHeight="1">
      <c r="F929" s="20"/>
      <c r="G929" s="21"/>
      <c r="R929" s="9"/>
    </row>
    <row r="930" ht="15.75" customHeight="1">
      <c r="F930" s="20"/>
      <c r="G930" s="21"/>
      <c r="R930" s="9"/>
    </row>
    <row r="931" ht="15.75" customHeight="1">
      <c r="F931" s="20"/>
      <c r="G931" s="21"/>
      <c r="R931" s="9"/>
    </row>
    <row r="932" ht="15.75" customHeight="1">
      <c r="F932" s="20"/>
      <c r="G932" s="21"/>
      <c r="R932" s="9"/>
    </row>
    <row r="933" ht="15.75" customHeight="1">
      <c r="F933" s="20"/>
      <c r="G933" s="21"/>
      <c r="R933" s="9"/>
    </row>
    <row r="934" ht="15.75" customHeight="1">
      <c r="F934" s="20"/>
      <c r="G934" s="21"/>
      <c r="R934" s="9"/>
    </row>
    <row r="935" ht="15.75" customHeight="1">
      <c r="F935" s="20"/>
      <c r="G935" s="21"/>
      <c r="R935" s="9"/>
    </row>
    <row r="936" ht="15.75" customHeight="1">
      <c r="F936" s="20"/>
      <c r="G936" s="21"/>
      <c r="R936" s="9"/>
    </row>
    <row r="937" ht="15.75" customHeight="1">
      <c r="F937" s="20"/>
      <c r="G937" s="21"/>
      <c r="R937" s="9"/>
    </row>
    <row r="938" ht="15.75" customHeight="1">
      <c r="F938" s="20"/>
      <c r="G938" s="21"/>
      <c r="R938" s="9"/>
    </row>
    <row r="939" ht="15.75" customHeight="1">
      <c r="F939" s="20"/>
      <c r="G939" s="21"/>
      <c r="R939" s="9"/>
    </row>
    <row r="940" ht="15.75" customHeight="1">
      <c r="F940" s="20"/>
      <c r="G940" s="21"/>
      <c r="R940" s="9"/>
    </row>
    <row r="941" ht="15.75" customHeight="1">
      <c r="F941" s="20"/>
      <c r="G941" s="21"/>
      <c r="R941" s="9"/>
    </row>
    <row r="942" ht="15.75" customHeight="1">
      <c r="F942" s="20"/>
      <c r="G942" s="21"/>
      <c r="R942" s="9"/>
    </row>
    <row r="943" ht="15.75" customHeight="1">
      <c r="F943" s="20"/>
      <c r="G943" s="21"/>
      <c r="R943" s="9"/>
    </row>
    <row r="944" ht="15.75" customHeight="1">
      <c r="F944" s="20"/>
      <c r="G944" s="21"/>
      <c r="R944" s="9"/>
    </row>
    <row r="945" ht="15.75" customHeight="1">
      <c r="F945" s="20"/>
      <c r="G945" s="21"/>
      <c r="R945" s="9"/>
    </row>
    <row r="946" ht="15.75" customHeight="1">
      <c r="F946" s="20"/>
      <c r="G946" s="21"/>
      <c r="R946" s="9"/>
    </row>
    <row r="947" ht="15.75" customHeight="1">
      <c r="F947" s="20"/>
      <c r="G947" s="21"/>
      <c r="R947" s="9"/>
    </row>
    <row r="948" ht="15.75" customHeight="1">
      <c r="F948" s="20"/>
      <c r="G948" s="21"/>
      <c r="R948" s="9"/>
    </row>
    <row r="949" ht="15.75" customHeight="1">
      <c r="F949" s="20"/>
      <c r="G949" s="21"/>
      <c r="R949" s="9"/>
    </row>
    <row r="950" ht="15.75" customHeight="1">
      <c r="F950" s="20"/>
      <c r="G950" s="21"/>
      <c r="R950" s="9"/>
    </row>
    <row r="951" ht="15.75" customHeight="1">
      <c r="F951" s="20"/>
      <c r="G951" s="21"/>
      <c r="R951" s="9"/>
    </row>
    <row r="952" ht="15.75" customHeight="1">
      <c r="F952" s="20"/>
      <c r="G952" s="21"/>
      <c r="R952" s="9"/>
    </row>
    <row r="953" ht="15.75" customHeight="1">
      <c r="F953" s="20"/>
      <c r="G953" s="21"/>
      <c r="R953" s="9"/>
    </row>
    <row r="954" ht="15.75" customHeight="1">
      <c r="F954" s="20"/>
      <c r="G954" s="21"/>
      <c r="R954" s="9"/>
    </row>
    <row r="955" ht="15.75" customHeight="1">
      <c r="F955" s="20"/>
      <c r="G955" s="21"/>
      <c r="R955" s="9"/>
    </row>
    <row r="956" ht="15.75" customHeight="1">
      <c r="F956" s="20"/>
      <c r="G956" s="21"/>
      <c r="R956" s="9"/>
    </row>
    <row r="957" ht="15.75" customHeight="1">
      <c r="F957" s="20"/>
      <c r="G957" s="21"/>
      <c r="R957" s="9"/>
    </row>
    <row r="958" ht="15.75" customHeight="1">
      <c r="F958" s="20"/>
      <c r="G958" s="21"/>
      <c r="R958" s="9"/>
    </row>
    <row r="959" ht="15.75" customHeight="1">
      <c r="F959" s="20"/>
      <c r="G959" s="21"/>
      <c r="R959" s="9"/>
    </row>
    <row r="960" ht="15.75" customHeight="1">
      <c r="F960" s="20"/>
      <c r="G960" s="21"/>
      <c r="R960" s="9"/>
    </row>
    <row r="961" ht="15.75" customHeight="1">
      <c r="F961" s="20"/>
      <c r="G961" s="21"/>
      <c r="R961" s="9"/>
    </row>
    <row r="962" ht="15.75" customHeight="1">
      <c r="F962" s="20"/>
      <c r="G962" s="21"/>
      <c r="R962" s="9"/>
    </row>
    <row r="963" ht="15.75" customHeight="1">
      <c r="F963" s="20"/>
      <c r="G963" s="21"/>
      <c r="R963" s="9"/>
    </row>
    <row r="964" ht="15.75" customHeight="1">
      <c r="F964" s="20"/>
      <c r="G964" s="21"/>
      <c r="R964" s="9"/>
    </row>
    <row r="965" ht="15.75" customHeight="1">
      <c r="F965" s="20"/>
      <c r="G965" s="21"/>
      <c r="R965" s="9"/>
    </row>
    <row r="966" ht="15.75" customHeight="1">
      <c r="F966" s="20"/>
      <c r="G966" s="21"/>
      <c r="R966" s="9"/>
    </row>
    <row r="967" ht="15.75" customHeight="1">
      <c r="F967" s="20"/>
      <c r="G967" s="21"/>
      <c r="R967" s="9"/>
    </row>
    <row r="968" ht="15.75" customHeight="1">
      <c r="F968" s="20"/>
      <c r="G968" s="21"/>
      <c r="R968" s="9"/>
    </row>
    <row r="969" ht="15.75" customHeight="1">
      <c r="F969" s="20"/>
      <c r="G969" s="21"/>
      <c r="R969" s="9"/>
    </row>
    <row r="970" ht="15.75" customHeight="1">
      <c r="F970" s="20"/>
      <c r="G970" s="21"/>
      <c r="R970" s="9"/>
    </row>
    <row r="971" ht="15.75" customHeight="1">
      <c r="F971" s="20"/>
      <c r="G971" s="21"/>
      <c r="R971" s="9"/>
    </row>
    <row r="972" ht="15.75" customHeight="1">
      <c r="F972" s="20"/>
      <c r="G972" s="21"/>
      <c r="R972" s="9"/>
    </row>
    <row r="973" ht="15.75" customHeight="1">
      <c r="F973" s="20"/>
      <c r="G973" s="21"/>
      <c r="R973" s="9"/>
    </row>
    <row r="974" ht="15.75" customHeight="1">
      <c r="F974" s="20"/>
      <c r="G974" s="21"/>
      <c r="R974" s="9"/>
    </row>
    <row r="975" ht="15.75" customHeight="1">
      <c r="F975" s="20"/>
      <c r="G975" s="21"/>
      <c r="R975" s="9"/>
    </row>
    <row r="976" ht="15.75" customHeight="1">
      <c r="F976" s="20"/>
      <c r="G976" s="21"/>
      <c r="R976" s="9"/>
    </row>
    <row r="977" ht="15.75" customHeight="1">
      <c r="F977" s="20"/>
      <c r="G977" s="21"/>
      <c r="R977" s="9"/>
    </row>
    <row r="978" ht="15.75" customHeight="1">
      <c r="F978" s="20"/>
      <c r="G978" s="21"/>
      <c r="R978" s="9"/>
    </row>
    <row r="979" ht="15.75" customHeight="1">
      <c r="F979" s="20"/>
      <c r="G979" s="21"/>
      <c r="R979" s="9"/>
    </row>
    <row r="980" ht="15.75" customHeight="1">
      <c r="F980" s="20"/>
      <c r="G980" s="21"/>
      <c r="R980" s="9"/>
    </row>
    <row r="981" ht="15.75" customHeight="1">
      <c r="F981" s="20"/>
      <c r="G981" s="21"/>
      <c r="R981" s="9"/>
    </row>
    <row r="982" ht="15.75" customHeight="1">
      <c r="F982" s="20"/>
      <c r="G982" s="21"/>
      <c r="R982" s="9"/>
    </row>
    <row r="983" ht="15.75" customHeight="1">
      <c r="F983" s="20"/>
      <c r="G983" s="21"/>
      <c r="R983" s="9"/>
    </row>
    <row r="984" ht="15.75" customHeight="1">
      <c r="F984" s="20"/>
      <c r="G984" s="21"/>
      <c r="R984" s="9"/>
    </row>
    <row r="985" ht="15.75" customHeight="1">
      <c r="F985" s="20"/>
      <c r="G985" s="21"/>
      <c r="R985" s="9"/>
    </row>
    <row r="986" ht="15.75" customHeight="1">
      <c r="F986" s="20"/>
      <c r="G986" s="21"/>
      <c r="R986" s="9"/>
    </row>
    <row r="987" ht="15.75" customHeight="1">
      <c r="F987" s="20"/>
      <c r="G987" s="21"/>
      <c r="R987" s="9"/>
    </row>
    <row r="988" ht="15.75" customHeight="1">
      <c r="F988" s="20"/>
      <c r="G988" s="21"/>
      <c r="R988" s="9"/>
    </row>
    <row r="989" ht="15.75" customHeight="1">
      <c r="F989" s="20"/>
      <c r="G989" s="21"/>
      <c r="R989" s="9"/>
    </row>
    <row r="990" ht="15.75" customHeight="1">
      <c r="F990" s="20"/>
      <c r="G990" s="21"/>
      <c r="R990" s="9"/>
    </row>
    <row r="991" ht="15.75" customHeight="1">
      <c r="F991" s="20"/>
      <c r="G991" s="21"/>
      <c r="R991" s="9"/>
    </row>
    <row r="992" ht="15.75" customHeight="1">
      <c r="F992" s="20"/>
      <c r="G992" s="21"/>
      <c r="R992" s="9"/>
    </row>
    <row r="993" ht="15.75" customHeight="1">
      <c r="F993" s="20"/>
      <c r="G993" s="21"/>
      <c r="R993" s="9"/>
    </row>
    <row r="994" ht="15.75" customHeight="1">
      <c r="F994" s="20"/>
      <c r="G994" s="21"/>
      <c r="R994" s="9"/>
    </row>
    <row r="995" ht="15.75" customHeight="1">
      <c r="F995" s="20"/>
      <c r="G995" s="21"/>
      <c r="R995" s="9"/>
    </row>
    <row r="996" ht="15.75" customHeight="1">
      <c r="F996" s="20"/>
      <c r="G996" s="21"/>
      <c r="R996" s="9"/>
    </row>
    <row r="997" ht="15.75" customHeight="1">
      <c r="F997" s="20"/>
      <c r="G997" s="21"/>
      <c r="R997" s="9"/>
    </row>
    <row r="998" ht="15.75" customHeight="1">
      <c r="F998" s="20"/>
      <c r="G998" s="21"/>
      <c r="R998" s="9"/>
    </row>
    <row r="999" ht="15.75" customHeight="1">
      <c r="F999" s="20"/>
      <c r="G999" s="21"/>
      <c r="R999" s="9"/>
    </row>
    <row r="1000" ht="15.75" customHeight="1">
      <c r="F1000" s="20"/>
      <c r="G1000" s="21"/>
      <c r="R1000" s="9"/>
    </row>
  </sheetData>
  <autoFilter ref="$A$9:$R$32"/>
  <mergeCells count="6">
    <mergeCell ref="E1:G1"/>
    <mergeCell ref="N1:O1"/>
    <mergeCell ref="O2:P2"/>
    <mergeCell ref="E4:M4"/>
    <mergeCell ref="E5:M5"/>
    <mergeCell ref="A37:Q37"/>
  </mergeCells>
  <dataValidations>
    <dataValidation type="list" allowBlank="1" showErrorMessage="1" sqref="Q10:Q35">
      <formula1>$S$1:$S$6</formula1>
    </dataValidation>
    <dataValidation type="list" allowBlank="1" showErrorMessage="1" sqref="R1:R1000">
      <formula1>$T$1:$T$6</formula1>
    </dataValidation>
  </dataValidations>
  <printOptions/>
  <pageMargins bottom="0.75" footer="0.0" header="0.0" left="0.25" right="0.25" top="0.75"/>
  <pageSetup paperSize="9"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3">
    <pageSetUpPr fitToPage="1"/>
  </sheetPr>
  <sheetViews>
    <sheetView workbookViewId="0"/>
  </sheetViews>
  <sheetFormatPr customHeight="1" defaultColWidth="14.43" defaultRowHeight="15.0"/>
  <cols>
    <col customWidth="1" min="1" max="1" width="16.0"/>
    <col customWidth="1" min="2" max="2" width="3.86"/>
    <col customWidth="1" min="3" max="5" width="10.71"/>
    <col customWidth="1" min="6" max="6" width="11.71"/>
    <col customWidth="1" min="7" max="7" width="10.29"/>
    <col customWidth="1" min="8" max="9" width="10.71"/>
    <col customWidth="1" min="10" max="10" width="17.43"/>
    <col customWidth="1" min="11" max="26" width="10.71"/>
  </cols>
  <sheetData>
    <row r="1" ht="18.0" customHeight="1">
      <c r="A1" s="42" t="s">
        <v>154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4"/>
    </row>
    <row r="2">
      <c r="A2" s="45" t="s">
        <v>155</v>
      </c>
      <c r="B2" s="45"/>
      <c r="C2" s="16" t="s">
        <v>45</v>
      </c>
      <c r="D2" s="16"/>
      <c r="E2" s="16"/>
      <c r="F2" s="16"/>
      <c r="G2" s="16"/>
      <c r="H2" s="16"/>
      <c r="I2" s="46" t="s">
        <v>156</v>
      </c>
      <c r="J2" s="16"/>
      <c r="K2" s="16"/>
      <c r="L2" s="16"/>
      <c r="M2" s="16"/>
      <c r="N2" s="16"/>
    </row>
    <row r="3">
      <c r="A3" s="45" t="s">
        <v>157</v>
      </c>
      <c r="B3" s="45"/>
      <c r="C3" s="16" t="s">
        <v>4</v>
      </c>
      <c r="D3" s="16"/>
      <c r="E3" s="16"/>
      <c r="F3" s="16"/>
      <c r="G3" s="16"/>
      <c r="H3" s="16"/>
      <c r="I3" s="45" t="s">
        <v>158</v>
      </c>
      <c r="J3" s="47">
        <v>44960.0</v>
      </c>
      <c r="K3" s="45" t="s">
        <v>159</v>
      </c>
      <c r="L3" s="16" t="s">
        <v>160</v>
      </c>
      <c r="M3" s="16"/>
      <c r="N3" s="16"/>
    </row>
    <row r="4">
      <c r="A4" s="45" t="s">
        <v>161</v>
      </c>
      <c r="B4" s="45"/>
      <c r="C4" s="16" t="s">
        <v>162</v>
      </c>
      <c r="D4" s="16"/>
      <c r="E4" s="16"/>
      <c r="F4" s="16"/>
      <c r="G4" s="16"/>
      <c r="H4" s="16"/>
      <c r="I4" s="45" t="s">
        <v>163</v>
      </c>
      <c r="J4" s="48"/>
      <c r="K4" s="16"/>
      <c r="L4" s="48"/>
      <c r="M4" s="16"/>
      <c r="N4" s="16"/>
    </row>
    <row r="5">
      <c r="A5" s="49" t="s">
        <v>164</v>
      </c>
      <c r="B5" s="50"/>
      <c r="C5" s="50"/>
      <c r="D5" s="50"/>
      <c r="E5" s="50"/>
      <c r="F5" s="50"/>
      <c r="G5" s="50"/>
      <c r="H5" s="50"/>
      <c r="I5" s="50"/>
      <c r="J5" s="50"/>
      <c r="K5" s="50"/>
      <c r="L5" s="50"/>
      <c r="M5" s="50"/>
      <c r="N5" s="51"/>
    </row>
    <row r="6">
      <c r="A6" s="52" t="s">
        <v>165</v>
      </c>
      <c r="B6" s="53"/>
      <c r="C6" s="53"/>
      <c r="D6" s="53"/>
      <c r="E6" s="53"/>
      <c r="F6" s="54"/>
      <c r="G6" s="55" t="s">
        <v>166</v>
      </c>
      <c r="H6" s="53"/>
      <c r="I6" s="54"/>
      <c r="J6" s="52" t="s">
        <v>167</v>
      </c>
      <c r="K6" s="53"/>
      <c r="L6" s="53"/>
      <c r="M6" s="53"/>
      <c r="N6" s="54"/>
    </row>
    <row r="7" ht="24.75" customHeight="1">
      <c r="A7" s="56" t="s">
        <v>168</v>
      </c>
      <c r="B7" s="57" t="s">
        <v>169</v>
      </c>
      <c r="C7" s="58" t="s">
        <v>170</v>
      </c>
      <c r="D7" s="58" t="s">
        <v>171</v>
      </c>
      <c r="E7" s="58" t="s">
        <v>42</v>
      </c>
      <c r="F7" s="59" t="s">
        <v>172</v>
      </c>
      <c r="G7" s="60" t="s">
        <v>173</v>
      </c>
      <c r="H7" s="58" t="s">
        <v>174</v>
      </c>
      <c r="I7" s="61" t="s">
        <v>163</v>
      </c>
      <c r="J7" s="60" t="s">
        <v>175</v>
      </c>
      <c r="K7" s="58" t="s">
        <v>176</v>
      </c>
      <c r="L7" s="58" t="s">
        <v>177</v>
      </c>
      <c r="M7" s="58" t="s">
        <v>178</v>
      </c>
      <c r="N7" s="61" t="s">
        <v>179</v>
      </c>
    </row>
    <row r="8">
      <c r="A8" s="62"/>
      <c r="B8" s="62"/>
      <c r="C8" s="38"/>
      <c r="D8" s="38"/>
      <c r="E8" s="38"/>
      <c r="F8" s="63"/>
      <c r="G8" s="62"/>
      <c r="H8" s="62"/>
      <c r="I8" s="62"/>
      <c r="J8" s="62"/>
      <c r="K8" s="62"/>
      <c r="L8" s="62"/>
      <c r="M8" s="62"/>
      <c r="N8" s="62"/>
    </row>
    <row r="9">
      <c r="A9" s="62"/>
      <c r="B9" s="62"/>
      <c r="C9" s="38"/>
      <c r="D9" s="38"/>
      <c r="E9" s="38"/>
      <c r="F9" s="63"/>
      <c r="G9" s="62"/>
      <c r="H9" s="62"/>
      <c r="I9" s="62"/>
      <c r="J9" s="62"/>
      <c r="K9" s="62"/>
      <c r="L9" s="62"/>
      <c r="M9" s="62"/>
      <c r="N9" s="62"/>
    </row>
    <row r="10">
      <c r="A10" s="62"/>
      <c r="B10" s="62"/>
      <c r="C10" s="64"/>
      <c r="D10" s="64"/>
      <c r="E10" s="64"/>
      <c r="F10" s="62"/>
      <c r="G10" s="62"/>
      <c r="H10" s="62"/>
      <c r="I10" s="62"/>
      <c r="J10" s="62"/>
      <c r="K10" s="62"/>
      <c r="L10" s="62"/>
      <c r="M10" s="62"/>
      <c r="N10" s="62"/>
    </row>
    <row r="11">
      <c r="A11" s="62"/>
      <c r="B11" s="62"/>
      <c r="C11" s="64"/>
      <c r="D11" s="64"/>
      <c r="E11" s="64"/>
      <c r="F11" s="62"/>
      <c r="G11" s="62"/>
      <c r="H11" s="62"/>
      <c r="I11" s="62"/>
      <c r="J11" s="62"/>
      <c r="K11" s="62"/>
      <c r="L11" s="62"/>
      <c r="M11" s="62"/>
      <c r="N11" s="62"/>
    </row>
    <row r="12">
      <c r="A12" s="62"/>
      <c r="B12" s="62"/>
      <c r="C12" s="38"/>
      <c r="D12" s="38"/>
      <c r="E12" s="38"/>
      <c r="F12" s="62"/>
      <c r="G12" s="62"/>
      <c r="H12" s="62"/>
      <c r="I12" s="62"/>
      <c r="J12" s="62"/>
      <c r="K12" s="62"/>
      <c r="L12" s="62"/>
      <c r="M12" s="62"/>
      <c r="N12" s="62"/>
    </row>
    <row r="13">
      <c r="A13" s="62"/>
      <c r="B13" s="62"/>
      <c r="C13" s="38"/>
      <c r="D13" s="38"/>
      <c r="E13" s="38"/>
      <c r="F13" s="62"/>
      <c r="G13" s="62"/>
      <c r="H13" s="62"/>
      <c r="I13" s="62"/>
      <c r="J13" s="62"/>
      <c r="K13" s="62"/>
      <c r="L13" s="62"/>
      <c r="M13" s="62"/>
      <c r="N13" s="62"/>
    </row>
    <row r="14">
      <c r="A14" s="62"/>
      <c r="B14" s="62"/>
      <c r="C14" s="38"/>
      <c r="D14" s="38"/>
      <c r="E14" s="38"/>
      <c r="F14" s="62"/>
      <c r="G14" s="62"/>
      <c r="H14" s="62"/>
      <c r="I14" s="62"/>
      <c r="J14" s="62"/>
      <c r="K14" s="62"/>
      <c r="L14" s="62"/>
      <c r="M14" s="62"/>
      <c r="N14" s="62"/>
    </row>
    <row r="15">
      <c r="A15" s="62"/>
      <c r="B15" s="62"/>
      <c r="C15" s="38"/>
      <c r="D15" s="38"/>
      <c r="E15" s="38"/>
      <c r="F15" s="62"/>
      <c r="G15" s="62"/>
      <c r="H15" s="62"/>
      <c r="I15" s="62"/>
      <c r="J15" s="62"/>
      <c r="K15" s="62"/>
      <c r="L15" s="62"/>
      <c r="M15" s="62"/>
      <c r="N15" s="62"/>
    </row>
    <row r="16">
      <c r="A16" s="62"/>
      <c r="B16" s="62"/>
      <c r="C16" s="64"/>
      <c r="D16" s="64"/>
      <c r="E16" s="64"/>
      <c r="F16" s="62"/>
      <c r="G16" s="62"/>
      <c r="H16" s="62"/>
      <c r="I16" s="62"/>
      <c r="J16" s="62"/>
      <c r="K16" s="62"/>
      <c r="L16" s="62"/>
      <c r="M16" s="62"/>
      <c r="N16" s="62"/>
    </row>
    <row r="17">
      <c r="A17" s="62"/>
      <c r="B17" s="62"/>
      <c r="C17" s="64"/>
      <c r="D17" s="64"/>
      <c r="E17" s="64"/>
      <c r="F17" s="62"/>
      <c r="G17" s="62"/>
      <c r="H17" s="62"/>
      <c r="I17" s="62"/>
      <c r="J17" s="62"/>
      <c r="K17" s="62"/>
      <c r="L17" s="62"/>
      <c r="M17" s="62"/>
      <c r="N17" s="62"/>
    </row>
    <row r="18">
      <c r="A18" s="65"/>
      <c r="B18" s="65"/>
      <c r="C18" s="24"/>
      <c r="D18" s="24"/>
      <c r="E18" s="24"/>
      <c r="F18" s="65"/>
      <c r="G18" s="65"/>
      <c r="H18" s="65"/>
      <c r="I18" s="65"/>
      <c r="J18" s="65"/>
      <c r="K18" s="65"/>
      <c r="L18" s="65"/>
      <c r="M18" s="65"/>
      <c r="N18" s="65"/>
    </row>
    <row r="19">
      <c r="A19" s="66" t="s">
        <v>180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</row>
    <row r="20">
      <c r="A20" s="67" t="s">
        <v>181</v>
      </c>
      <c r="B20" s="68"/>
      <c r="C20" s="68"/>
      <c r="D20" s="68"/>
      <c r="E20" s="68"/>
      <c r="F20" s="68"/>
      <c r="G20" s="68"/>
      <c r="H20" s="68"/>
      <c r="I20" s="68"/>
      <c r="J20" s="69"/>
      <c r="K20" s="16"/>
      <c r="L20" s="16"/>
      <c r="M20" s="16"/>
      <c r="N20" s="16"/>
    </row>
    <row r="21" ht="15.75" customHeight="1">
      <c r="A21" s="52" t="s">
        <v>165</v>
      </c>
      <c r="B21" s="53"/>
      <c r="C21" s="53"/>
      <c r="D21" s="53"/>
      <c r="E21" s="53"/>
      <c r="F21" s="54"/>
      <c r="G21" s="70" t="s">
        <v>182</v>
      </c>
      <c r="H21" s="71"/>
      <c r="I21" s="72"/>
      <c r="J21" s="73" t="s">
        <v>183</v>
      </c>
      <c r="K21" s="74" t="s">
        <v>184</v>
      </c>
      <c r="L21" s="75"/>
      <c r="M21" s="75"/>
      <c r="N21" s="75"/>
    </row>
    <row r="22" ht="15.75" customHeight="1">
      <c r="A22" s="56" t="s">
        <v>168</v>
      </c>
      <c r="B22" s="57" t="s">
        <v>185</v>
      </c>
      <c r="C22" s="58" t="s">
        <v>170</v>
      </c>
      <c r="D22" s="58" t="s">
        <v>171</v>
      </c>
      <c r="E22" s="58" t="s">
        <v>42</v>
      </c>
      <c r="F22" s="59" t="s">
        <v>186</v>
      </c>
      <c r="G22" s="76" t="s">
        <v>187</v>
      </c>
      <c r="H22" s="58" t="s">
        <v>174</v>
      </c>
      <c r="I22" s="77" t="s">
        <v>163</v>
      </c>
      <c r="J22" s="78" t="s">
        <v>175</v>
      </c>
      <c r="K22" s="16"/>
      <c r="L22" s="16"/>
      <c r="M22" s="16"/>
      <c r="N22" s="16"/>
    </row>
    <row r="23" ht="15.75" customHeight="1">
      <c r="A23" s="79"/>
      <c r="B23" s="79"/>
      <c r="C23" s="35" t="s">
        <v>46</v>
      </c>
      <c r="D23" s="35" t="s">
        <v>47</v>
      </c>
      <c r="E23" s="35">
        <v>5.7741507E7</v>
      </c>
      <c r="F23" s="79"/>
      <c r="G23" s="79"/>
      <c r="H23" s="79"/>
      <c r="I23" s="79"/>
      <c r="J23" s="79"/>
      <c r="K23" s="65"/>
      <c r="L23" s="80"/>
      <c r="M23" s="81" t="s">
        <v>188</v>
      </c>
      <c r="N23" s="79">
        <f>'PADRON COMPLETO'!Q5+'PADRON COMPLETO'!Q7</f>
        <v>26</v>
      </c>
    </row>
    <row r="24" ht="15.75" customHeight="1">
      <c r="A24" s="79"/>
      <c r="B24" s="79"/>
      <c r="C24" s="38" t="s">
        <v>54</v>
      </c>
      <c r="D24" s="38" t="s">
        <v>55</v>
      </c>
      <c r="E24" s="38">
        <v>5.7525892E7</v>
      </c>
      <c r="F24" s="79"/>
      <c r="G24" s="79"/>
      <c r="H24" s="79"/>
      <c r="I24" s="79"/>
      <c r="J24" s="79"/>
      <c r="K24" s="16"/>
      <c r="L24" s="80"/>
      <c r="M24" s="82" t="s">
        <v>189</v>
      </c>
      <c r="N24" s="79">
        <f>'PADRON COMPLETO'!Q6</f>
        <v>0</v>
      </c>
    </row>
    <row r="25" ht="15.75" customHeight="1">
      <c r="A25" s="79"/>
      <c r="B25" s="79"/>
      <c r="C25" s="38" t="s">
        <v>68</v>
      </c>
      <c r="D25" s="38" t="s">
        <v>69</v>
      </c>
      <c r="E25" s="38">
        <v>5.7528013E7</v>
      </c>
      <c r="F25" s="79"/>
      <c r="G25" s="79"/>
      <c r="H25" s="79"/>
      <c r="I25" s="79"/>
      <c r="J25" s="79"/>
      <c r="K25" s="16"/>
      <c r="L25" s="80"/>
      <c r="M25" s="82" t="s">
        <v>190</v>
      </c>
      <c r="N25" s="79">
        <f>'PADRON COMPLETO'!Q7</f>
        <v>0</v>
      </c>
    </row>
    <row r="26" ht="15.75" customHeight="1">
      <c r="A26" s="79"/>
      <c r="B26" s="79"/>
      <c r="C26" s="38" t="s">
        <v>73</v>
      </c>
      <c r="D26" s="38" t="s">
        <v>74</v>
      </c>
      <c r="E26" s="38">
        <v>5.7354822E7</v>
      </c>
      <c r="F26" s="79"/>
      <c r="G26" s="79"/>
      <c r="H26" s="79"/>
      <c r="I26" s="79"/>
      <c r="J26" s="79"/>
      <c r="K26" s="83"/>
      <c r="L26" s="84"/>
      <c r="M26" s="85" t="s">
        <v>191</v>
      </c>
      <c r="N26" s="86">
        <f>N23+N24-N25</f>
        <v>26</v>
      </c>
    </row>
    <row r="27" ht="15.75" customHeight="1">
      <c r="A27" s="79"/>
      <c r="B27" s="79"/>
      <c r="C27" s="38" t="s">
        <v>79</v>
      </c>
      <c r="D27" s="38" t="s">
        <v>80</v>
      </c>
      <c r="E27" s="38">
        <v>5.7154438E7</v>
      </c>
      <c r="F27" s="79"/>
      <c r="G27" s="79"/>
      <c r="H27" s="79"/>
      <c r="I27" s="79"/>
      <c r="J27" s="79"/>
      <c r="K27" s="65"/>
      <c r="L27" s="16" t="s">
        <v>192</v>
      </c>
      <c r="M27" s="16"/>
      <c r="N27" s="87"/>
    </row>
    <row r="28" ht="15.75" customHeight="1">
      <c r="A28" s="79"/>
      <c r="B28" s="79"/>
      <c r="C28" s="38" t="s">
        <v>85</v>
      </c>
      <c r="D28" s="38" t="s">
        <v>86</v>
      </c>
      <c r="E28" s="38">
        <v>5.7711208E7</v>
      </c>
      <c r="F28" s="79"/>
      <c r="G28" s="79"/>
      <c r="H28" s="79"/>
      <c r="I28" s="79"/>
      <c r="J28" s="79"/>
      <c r="K28" s="65"/>
      <c r="L28" s="16"/>
      <c r="M28" s="88" t="s">
        <v>193</v>
      </c>
      <c r="N28" s="89" t="s">
        <v>194</v>
      </c>
    </row>
    <row r="29" ht="15.75" customHeight="1">
      <c r="A29" s="79"/>
      <c r="B29" s="79"/>
      <c r="C29" s="38" t="s">
        <v>89</v>
      </c>
      <c r="D29" s="38" t="s">
        <v>90</v>
      </c>
      <c r="E29" s="38">
        <v>5.7566952E7</v>
      </c>
      <c r="F29" s="79"/>
      <c r="G29" s="79"/>
      <c r="H29" s="79"/>
      <c r="I29" s="79"/>
      <c r="J29" s="79"/>
      <c r="K29" s="65"/>
      <c r="L29" s="90" t="s">
        <v>195</v>
      </c>
      <c r="M29" s="91" t="s">
        <v>160</v>
      </c>
      <c r="N29" s="91"/>
    </row>
    <row r="30" ht="15.75" customHeight="1">
      <c r="A30" s="79"/>
      <c r="B30" s="79"/>
      <c r="C30" s="38" t="s">
        <v>97</v>
      </c>
      <c r="D30" s="38" t="s">
        <v>98</v>
      </c>
      <c r="E30" s="38">
        <v>5.7528065E7</v>
      </c>
      <c r="F30" s="79"/>
      <c r="G30" s="79"/>
      <c r="H30" s="79"/>
      <c r="I30" s="79"/>
      <c r="J30" s="79"/>
      <c r="K30" s="65"/>
      <c r="L30" s="90" t="s">
        <v>196</v>
      </c>
      <c r="M30" s="91" t="s">
        <v>194</v>
      </c>
      <c r="N30" s="91"/>
    </row>
    <row r="31" ht="15.75" customHeight="1">
      <c r="A31" s="79"/>
      <c r="B31" s="79"/>
      <c r="C31" s="38" t="s">
        <v>102</v>
      </c>
      <c r="D31" s="38" t="s">
        <v>103</v>
      </c>
      <c r="E31" s="38">
        <v>5.6979787E7</v>
      </c>
      <c r="F31" s="79"/>
      <c r="G31" s="79"/>
      <c r="H31" s="79"/>
      <c r="I31" s="79"/>
      <c r="J31" s="79"/>
      <c r="K31" s="16"/>
      <c r="L31" s="16"/>
      <c r="M31" s="16"/>
      <c r="N31" s="16"/>
    </row>
    <row r="32" ht="15.75" customHeight="1">
      <c r="A32" s="79"/>
      <c r="B32" s="79"/>
      <c r="C32" s="38" t="s">
        <v>111</v>
      </c>
      <c r="D32" s="38" t="s">
        <v>112</v>
      </c>
      <c r="E32" s="38">
        <v>5.7739107E7</v>
      </c>
      <c r="F32" s="79"/>
      <c r="G32" s="79"/>
      <c r="H32" s="79"/>
      <c r="I32" s="79"/>
      <c r="J32" s="79"/>
      <c r="K32" s="16"/>
      <c r="L32" s="16"/>
      <c r="M32" s="16"/>
      <c r="N32" s="16"/>
    </row>
    <row r="33" ht="15.75" customHeight="1">
      <c r="A33" s="79"/>
      <c r="B33" s="79"/>
      <c r="C33" s="38" t="s">
        <v>138</v>
      </c>
      <c r="D33" s="38" t="s">
        <v>142</v>
      </c>
      <c r="E33" s="38">
        <v>5.9468731E7</v>
      </c>
      <c r="F33" s="79"/>
      <c r="G33" s="79"/>
      <c r="H33" s="79"/>
      <c r="I33" s="79"/>
      <c r="J33" s="79"/>
      <c r="K33" s="16"/>
      <c r="L33" s="16"/>
      <c r="M33" s="16"/>
      <c r="N33" s="16"/>
    </row>
    <row r="34" ht="15.75" customHeight="1">
      <c r="K34" s="16"/>
      <c r="L34" s="16"/>
      <c r="M34" s="90"/>
      <c r="N34" s="16"/>
    </row>
    <row r="35" ht="15.75" customHeight="1">
      <c r="A35" s="45" t="s">
        <v>197</v>
      </c>
      <c r="B35" s="92"/>
      <c r="F35" s="16"/>
      <c r="G35" s="45" t="s">
        <v>198</v>
      </c>
      <c r="H35" s="45"/>
      <c r="I35" s="16"/>
      <c r="J35" s="16"/>
      <c r="K35" s="16"/>
      <c r="L35" s="16"/>
      <c r="M35" s="16"/>
      <c r="N35" s="16"/>
    </row>
    <row r="36" ht="15.75" customHeight="1">
      <c r="A36" s="16" t="s">
        <v>199</v>
      </c>
      <c r="B36" s="16"/>
      <c r="F36" s="65"/>
      <c r="G36" s="16" t="s">
        <v>199</v>
      </c>
      <c r="H36" s="16"/>
      <c r="I36" s="16"/>
      <c r="J36" s="16"/>
      <c r="K36" s="16"/>
      <c r="L36" s="16"/>
      <c r="M36" s="16"/>
      <c r="N36" s="16"/>
    </row>
    <row r="37" ht="15.75" customHeight="1">
      <c r="A37" s="16" t="s">
        <v>200</v>
      </c>
      <c r="B37" s="16"/>
      <c r="F37" s="16"/>
      <c r="G37" s="16" t="s">
        <v>200</v>
      </c>
      <c r="H37" s="16"/>
      <c r="I37" s="16"/>
      <c r="J37" s="16"/>
      <c r="K37" s="16"/>
      <c r="L37" s="16"/>
      <c r="M37" s="16"/>
      <c r="N37" s="16"/>
    </row>
    <row r="38" ht="15.75" customHeight="1">
      <c r="A38" s="16" t="s">
        <v>196</v>
      </c>
      <c r="B38" s="16"/>
      <c r="F38" s="16"/>
      <c r="G38" s="16" t="s">
        <v>196</v>
      </c>
      <c r="H38" s="16"/>
      <c r="I38" s="16"/>
      <c r="J38" s="16"/>
      <c r="K38" s="16"/>
      <c r="L38" s="16"/>
      <c r="M38" s="16"/>
      <c r="N38" s="16"/>
    </row>
    <row r="39" ht="15.75" customHeight="1">
      <c r="A39" s="16"/>
      <c r="B39" s="16"/>
      <c r="F39" s="16"/>
      <c r="H39" s="16"/>
      <c r="I39" s="16"/>
      <c r="J39" s="16"/>
    </row>
    <row r="40" ht="15.75" customHeight="1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</row>
    <row r="41" ht="15.75" customHeight="1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</row>
    <row r="42" ht="15.75" customHeight="1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</row>
    <row r="43" ht="15.75" customHeight="1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</row>
    <row r="44" ht="15.75" customHeight="1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</row>
    <row r="45" ht="15.75" customHeight="1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</row>
    <row r="46" ht="15.75" customHeight="1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</row>
    <row r="47" ht="15.75" customHeight="1">
      <c r="A47" s="16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</row>
    <row r="48" ht="15.75" customHeight="1">
      <c r="A48" s="16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</row>
    <row r="49" ht="15.75" customHeight="1">
      <c r="A49" s="16"/>
      <c r="B49" s="16"/>
      <c r="C49" s="16"/>
      <c r="D49" s="16"/>
      <c r="E49" s="16"/>
      <c r="F49" s="16"/>
      <c r="G49" s="16"/>
      <c r="H49" s="16"/>
      <c r="I49" s="16"/>
      <c r="J49" s="16"/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9">
    <mergeCell ref="G21:I21"/>
    <mergeCell ref="K21:N21"/>
    <mergeCell ref="A1:N1"/>
    <mergeCell ref="A5:N5"/>
    <mergeCell ref="A6:F6"/>
    <mergeCell ref="G6:I6"/>
    <mergeCell ref="J6:N6"/>
    <mergeCell ref="A20:J20"/>
    <mergeCell ref="A21:F21"/>
  </mergeCells>
  <conditionalFormatting sqref="J2">
    <cfRule type="cellIs" dxfId="0" priority="1" operator="greaterThan">
      <formula>$I$2</formula>
    </cfRule>
  </conditionalFormatting>
  <conditionalFormatting sqref="N26">
    <cfRule type="cellIs" dxfId="1" priority="2" operator="greaterThan">
      <formula>$I$2</formula>
    </cfRule>
  </conditionalFormatting>
  <conditionalFormatting sqref="N26">
    <cfRule type="cellIs" dxfId="2" priority="3" operator="greaterThan">
      <formula>$I$2</formula>
    </cfRule>
  </conditionalFormatting>
  <printOptions/>
  <pageMargins bottom="0.5511811023622047" footer="0.0" header="0.0" left="0.2362204724409449" right="0.03937007874015748" top="0.7480314960629921"/>
  <pageSetup paperSize="9"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2016-06-08T13:01:36Z</dcterms:created>
  <dc:creator>Paula Pujal</dc:creator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mpany">
    <vt:lpwstr>Gobierno de Cordoba</vt:lpwstr>
  </property>
  <property fmtid="{D5CDD505-2E9C-101B-9397-08002B2CF9AE}" pid="4" name="DocSecurity">
    <vt:r8>0.0</vt:r8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</Properties>
</file>